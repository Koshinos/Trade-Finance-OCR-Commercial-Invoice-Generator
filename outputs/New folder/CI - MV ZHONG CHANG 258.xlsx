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iresourcespteltd.sharepoint.com/sites/trading-finance/Shared Documents/COMMON/COMMON/SRPL/1. EXPORT LC/ASIA GREEN/10. MV ZHONG CHANG 258/EXPORT - ASIA GREEN/MV ZHONG CHANG 258/EXPORT - ASIA GREEN/"/>
    </mc:Choice>
  </mc:AlternateContent>
  <xr:revisionPtr revIDLastSave="239" documentId="13_ncr:1_{9D1FF800-1EBF-4C44-9E00-AD23A11A6D9E}" xr6:coauthVersionLast="47" xr6:coauthVersionMax="47" xr10:uidLastSave="{6B34B747-5023-43F5-B6E2-BB69B81A7571}"/>
  <bookViews>
    <workbookView xWindow="-110" yWindow="-110" windowWidth="19420" windowHeight="11500" xr2:uid="{00000000-000D-0000-FFFF-FFFF00000000}"/>
  </bookViews>
  <sheets>
    <sheet name="CI" sheetId="15" r:id="rId1"/>
    <sheet name="Sheet1" sheetId="16" r:id="rId2"/>
  </sheets>
  <definedNames>
    <definedName name="_xlnm.Print_Area" localSheetId="0">CI!$A$1:$J$34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5" l="1"/>
  <c r="J30" i="15" s="1"/>
</calcChain>
</file>

<file path=xl/sharedStrings.xml><?xml version="1.0" encoding="utf-8"?>
<sst xmlns="http://schemas.openxmlformats.org/spreadsheetml/2006/main" count="85" uniqueCount="77">
  <si>
    <t>SAII RESOURCES PTE LTD</t>
  </si>
  <si>
    <t>COMMERCIAL INVOICE</t>
  </si>
  <si>
    <t>COMMERCIAL INVOICE NO &amp; DATE</t>
  </si>
  <si>
    <t xml:space="preserve"> </t>
  </si>
  <si>
    <t xml:space="preserve"> CONTRACT NUMBER </t>
  </si>
  <si>
    <t>L/C NUMBER</t>
  </si>
  <si>
    <t>USD</t>
  </si>
  <si>
    <t>L/C DATE</t>
  </si>
  <si>
    <t xml:space="preserve"> L/C ISSUING BANK</t>
  </si>
  <si>
    <t xml:space="preserve"> COUNTRY OF ORIGIN </t>
  </si>
  <si>
    <t xml:space="preserve">INDONESIA </t>
  </si>
  <si>
    <t>PORT OF LOADING</t>
  </si>
  <si>
    <t>PEUNAGA ANCHORAGE,ACEH PROVINCE, INDONESIA</t>
  </si>
  <si>
    <t>DESCRIPTION OF GOODS</t>
  </si>
  <si>
    <t>PORT OF DISCHARGE</t>
  </si>
  <si>
    <t>TYPICAL</t>
  </si>
  <si>
    <t>REJECTION</t>
  </si>
  <si>
    <t>TOTAL MOISTURE (ARB)</t>
  </si>
  <si>
    <t>NO REJECTION</t>
  </si>
  <si>
    <t>ASH (ADB)</t>
  </si>
  <si>
    <t>ABOVE 10PCT</t>
  </si>
  <si>
    <t>INHERENT MOISTURE (ADB)</t>
  </si>
  <si>
    <t>VOLATILE MATTER (ADB)</t>
  </si>
  <si>
    <t>SULPHUR (ADB)</t>
  </si>
  <si>
    <t>0.3 PCT</t>
  </si>
  <si>
    <t>ABOVE 0.5 PCT</t>
  </si>
  <si>
    <t>GROSS CALORIFIC VALUE (ARB)</t>
  </si>
  <si>
    <t>FIXED CARBON (ADB)</t>
  </si>
  <si>
    <t>BY DIFFERENCE</t>
  </si>
  <si>
    <t>SIZE ( 0-200MM) CRUSHED</t>
  </si>
  <si>
    <t>THE NAME OF THE VESSEL</t>
  </si>
  <si>
    <t>MV ZHONG CHANG 258</t>
  </si>
  <si>
    <t>THE NUMBER OF THE BILL OF LADING</t>
  </si>
  <si>
    <t>THE DATE OF THE BILL OF LADING</t>
  </si>
  <si>
    <t>EXIM0600014/2026</t>
  </si>
  <si>
    <t>KOH SICHANG, THAILAND.</t>
  </si>
  <si>
    <t xml:space="preserve">PARAMETER(ASTM)
</t>
  </si>
  <si>
    <t xml:space="preserve">8 PCT </t>
  </si>
  <si>
    <t xml:space="preserve">TOTAL AMOUNT DUE
 </t>
  </si>
  <si>
    <t>Unit Base Price After Adjustment Or Penalty
 (Per MT)</t>
  </si>
  <si>
    <t xml:space="preserve">SAII RESOURCES PTE LTD
40A ORCHARD ROAD,MACDONALD HOUSE
NO.03-01, 238838
SINGAPORE </t>
  </si>
  <si>
    <t>SRPL26S003</t>
  </si>
  <si>
    <t>THE IMO NUMBER OF THE VESSEL</t>
  </si>
  <si>
    <t>ASIA GREEN ENERGY PUBLIC COMPANY
LIMITED., 99/9 RAMA 2 ROAD, SAMAEDAM,
BANGKHUNTHIAN ,BANGKOK 10150
THAILAND</t>
  </si>
  <si>
    <t>EXPORT-IMPORT BANK OF THAILAND</t>
  </si>
  <si>
    <t xml:space="preserve"> COAL SPECIFICATIONS UNDER ASTM STANDARD</t>
  </si>
  <si>
    <t>3,400 KCAL/KG</t>
  </si>
  <si>
    <t>BELOW 3,200 KCAL/KG</t>
  </si>
  <si>
    <t>HGI</t>
  </si>
  <si>
    <t>42  APPROX</t>
  </si>
  <si>
    <t>42  APPROX.</t>
  </si>
  <si>
    <t>90 PCT APPROX</t>
  </si>
  <si>
    <t>The Quantity
 of Coal Shipped
(In MT)</t>
  </si>
  <si>
    <t>QUANTITY/WEIGHT</t>
  </si>
  <si>
    <t>ACTUAL ANALYSIS 
RESULTS</t>
  </si>
  <si>
    <t>THE ACTUAL CALORIFIC VALUE RESULTS</t>
  </si>
  <si>
    <t>Make all payments to :
SAII RESOURCES PTE. LTD.
Account Number : 12-01-02-20622-333-176752 (USD)
Bank Name: Habib Bank Zurich (Hong Kong) Limited, SWIFT Code : HFLIHKHHXXX
Address: Suite 1220, Lippo Sun Plaza, 28 Canton Road, Tsim Sha Tsui, Hong Kong</t>
  </si>
  <si>
    <t>Authorised Signatory</t>
  </si>
  <si>
    <t xml:space="preserve">55,900 MTS
</t>
  </si>
  <si>
    <t>2047AMHIND26</t>
  </si>
  <si>
    <t>28/02/26</t>
  </si>
  <si>
    <t xml:space="preserve">3,321 KCAL/KG
</t>
  </si>
  <si>
    <t>45.21 PCT</t>
  </si>
  <si>
    <t>6.03 PCT</t>
  </si>
  <si>
    <t>42.16 PCT</t>
  </si>
  <si>
    <t>0.19 PCT</t>
  </si>
  <si>
    <t>35.23 BY DIFFERENCE</t>
  </si>
  <si>
    <t>96.73 PCT</t>
  </si>
  <si>
    <r>
      <rPr>
        <b/>
        <sz val="12"/>
        <color theme="1"/>
        <rFont val="Calibri"/>
        <family val="2"/>
        <scheme val="minor"/>
      </rPr>
      <t xml:space="preserve">The invoice price of Coal
</t>
    </r>
    <r>
      <rPr>
        <sz val="12"/>
        <color theme="1"/>
        <rFont val="Calibri"/>
        <family val="2"/>
        <scheme val="minor"/>
      </rPr>
      <t>The Calculation of the Payable Amount:
(US Dollar One</t>
    </r>
    <r>
      <rPr>
        <sz val="12"/>
        <rFont val="Calibri"/>
        <family val="2"/>
        <scheme val="minor"/>
      </rPr>
      <t xml:space="preserve"> Million Nine Hundred Forty- Eight Thousand One Hundred Fifteen Only</t>
    </r>
    <r>
      <rPr>
        <sz val="12"/>
        <color theme="1"/>
        <rFont val="Calibri"/>
        <family val="2"/>
        <scheme val="minor"/>
      </rPr>
      <t>)</t>
    </r>
  </si>
  <si>
    <r>
      <t xml:space="preserve">CI-SAII/ASIAGREEN-221/III-2026 DATED
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MAR 03, 2026</t>
    </r>
  </si>
  <si>
    <r>
      <rPr>
        <sz val="12"/>
        <rFont val="Calibri"/>
        <family val="2"/>
        <scheme val="minor"/>
      </rPr>
      <t>55,000 MTS OF INDONESIAN STEAM COAL IN BULK  (+/- 10PCT)  BASIS GROSS CALORIFIC VALUE 3,400 KCAL/KG (ARB) 
BASE UNIT PRICE USD 35.68 PER MT 
PRICE TERM FOB PEUNAGA ANCHORAGE, ACEH PROVINCE,INDONESIA</t>
    </r>
    <r>
      <rPr>
        <sz val="12"/>
        <color rgb="FFFF0000"/>
        <rFont val="Calibri"/>
        <family val="2"/>
        <scheme val="minor"/>
      </rPr>
      <t xml:space="preserve">
</t>
    </r>
  </si>
  <si>
    <t>16.58 PCT</t>
  </si>
  <si>
    <t>3,321 KCAL/KG</t>
  </si>
  <si>
    <r>
      <t xml:space="preserve">DETAIL OF CALCULATION
PRICE ADJUSTMENTS: 
IF THE ACTUAL GROSS CALORIFIC VALUE OF 3,400 GAR COAL DIFFERS FROM 3,400 KCAL/KG (GAR), BEING EQUAL TO OR LESS THAN 3,550 KCAL/KG BUT NOT LESS THAN 3,200 KCAL/KG (GAR) , THEN THE PRICE ADJUSTMENT TO THE BASE PRICE OF 3,400 GAR COAL  SHALL  BE CALCULATED BY APPLYING TO THE FOLLOWING FORMULA:
ADJUSTMENT PRICE( EQUAL TO) BASE PRICE X ACTUAL GCV (GAR) 
----------------------------------------------------------------------------------
3,400 KCAL/KG (GAR)
IF THE ACTUAL GROSS CALORIFIC VALUE (ARB) MORE THAN GROSS CALORIFIC VALUE (ARB) 3,550 KCAL/KG. IT WILL BE TREATED AS GROSS CALORIFIC VALUE (ARB) 3,550 KCAL/KG ONLY.
</t>
    </r>
    <r>
      <rPr>
        <b/>
        <sz val="12"/>
        <color theme="1"/>
        <rFont val="Calibri"/>
        <family val="2"/>
        <scheme val="minor"/>
      </rPr>
      <t>ADJUSTMENT PRICE =</t>
    </r>
    <r>
      <rPr>
        <sz val="12"/>
        <color theme="1"/>
        <rFont val="Calibri"/>
        <family val="2"/>
        <scheme val="minor"/>
      </rPr>
      <t xml:space="preserve"> USD 35.68 X </t>
    </r>
    <r>
      <rPr>
        <sz val="12"/>
        <rFont val="Calibri"/>
        <family val="2"/>
        <scheme val="minor"/>
      </rPr>
      <t>3,321</t>
    </r>
    <r>
      <rPr>
        <sz val="12"/>
        <color theme="1"/>
        <rFont val="Calibri"/>
        <family val="2"/>
        <scheme val="minor"/>
      </rPr>
      <t xml:space="preserve">
                                                          --------    
                                                          3,400 KCAL/KG (GAR)
                                  =  USD 34.85 PER MT
</t>
    </r>
  </si>
  <si>
    <t>For SAII RESOURCES PTE LTD</t>
  </si>
  <si>
    <t>45 PCT APPROX</t>
  </si>
  <si>
    <t xml:space="preserve">15 PCT APPROX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</si>
</sst>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name val="Calibri"/>
      <family val="2"/>
      <scheme val="minor"/>
    </font>
    <font>
      <b/>
      <i/>
      <sz val="2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8">
    <xf numFmtId="0" fontId="0" fillId="0" borderId="0" xfId="0"/>
    <xf numFmtId="164" fontId="0" fillId="0" borderId="0" xfId="2" applyNumberFormat="1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2" borderId="1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2" borderId="15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9" fontId="11" fillId="2" borderId="13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10" fontId="11" fillId="2" borderId="13" xfId="0" applyNumberFormat="1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top"/>
    </xf>
    <xf numFmtId="49" fontId="11" fillId="2" borderId="13" xfId="0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2" borderId="1" xfId="0" applyFont="1" applyFill="1" applyBorder="1" applyAlignment="1">
      <alignment vertical="center"/>
    </xf>
    <xf numFmtId="4" fontId="10" fillId="0" borderId="3" xfId="0" applyNumberFormat="1" applyFont="1" applyBorder="1" applyAlignment="1">
      <alignment horizontal="right" vertical="center"/>
    </xf>
    <xf numFmtId="0" fontId="14" fillId="2" borderId="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15" fontId="10" fillId="2" borderId="13" xfId="0" applyNumberFormat="1" applyFont="1" applyFill="1" applyBorder="1" applyAlignment="1">
      <alignment horizontal="center" vertical="top" wrapText="1"/>
    </xf>
    <xf numFmtId="15" fontId="10" fillId="2" borderId="5" xfId="0" applyNumberFormat="1" applyFont="1" applyFill="1" applyBorder="1" applyAlignment="1">
      <alignment horizontal="center" vertical="top" wrapText="1"/>
    </xf>
    <xf numFmtId="15" fontId="10" fillId="2" borderId="6" xfId="0" applyNumberFormat="1" applyFont="1" applyFill="1" applyBorder="1" applyAlignment="1">
      <alignment horizontal="center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15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5" fontId="11" fillId="0" borderId="9" xfId="1" applyNumberFormat="1" applyFont="1" applyFill="1" applyBorder="1" applyAlignment="1">
      <alignment horizontal="right" vertical="center"/>
    </xf>
    <xf numFmtId="165" fontId="11" fillId="0" borderId="20" xfId="1" applyNumberFormat="1" applyFont="1" applyFill="1" applyBorder="1" applyAlignment="1">
      <alignment horizontal="right" vertical="center"/>
    </xf>
    <xf numFmtId="2" fontId="10" fillId="0" borderId="19" xfId="0" applyNumberFormat="1" applyFont="1" applyBorder="1" applyAlignment="1">
      <alignment horizontal="right" vertical="center"/>
    </xf>
    <xf numFmtId="2" fontId="10" fillId="0" borderId="20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" fontId="11" fillId="0" borderId="13" xfId="0" quotePrefix="1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5" fontId="10" fillId="2" borderId="13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4" fontId="10" fillId="0" borderId="21" xfId="0" applyNumberFormat="1" applyFont="1" applyBorder="1" applyAlignment="1">
      <alignment horizontal="right" vertical="center"/>
    </xf>
    <xf numFmtId="4" fontId="10" fillId="0" borderId="22" xfId="0" applyNumberFormat="1" applyFont="1" applyBorder="1" applyAlignment="1">
      <alignment horizontal="righ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2" fillId="2" borderId="13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3" fillId="2" borderId="4" xfId="0" applyFont="1" applyFill="1" applyBorder="1" applyAlignment="1">
      <alignment vertical="top" wrapText="1"/>
    </xf>
    <xf numFmtId="0" fontId="13" fillId="2" borderId="5" xfId="0" applyFont="1" applyFill="1" applyBorder="1" applyAlignment="1">
      <alignment vertical="top" wrapText="1"/>
    </xf>
    <xf numFmtId="0" fontId="13" fillId="2" borderId="6" xfId="0" applyFont="1" applyFill="1" applyBorder="1" applyAlignment="1">
      <alignment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5" fillId="0" borderId="3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</cellXfs>
  <cellStyles count="8">
    <cellStyle name="Comma" xfId="1" builtinId="3"/>
    <cellStyle name="Comma [0]" xfId="2" builtinId="6"/>
    <cellStyle name="Comma [0] 2" xfId="5" xr:uid="{00000000-0005-0000-0000-000002000000}"/>
    <cellStyle name="Comma 2" xfId="3" xr:uid="{00000000-0005-0000-0000-000003000000}"/>
    <cellStyle name="Comma 2 2" xfId="6" xr:uid="{00000000-0005-0000-0000-000004000000}"/>
    <cellStyle name="Comma 3" xfId="4" xr:uid="{00000000-0005-0000-0000-000005000000}"/>
    <cellStyle name="Comma 4" xfId="7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621030</xdr:colOff>
      <xdr:row>31</xdr:row>
      <xdr:rowOff>388621</xdr:rowOff>
    </xdr:from>
    <xdr:to>
      <xdr:col>9</xdr:col>
      <xdr:colOff>2350770</xdr:colOff>
      <xdr:row>32</xdr:row>
      <xdr:rowOff>106681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2237E8B3-009A-48C8-B441-F68A8737CCE9}"/>
            </a:ext>
          </a:extLst>
        </xdr:cNvPr>
        <xdr:cNvSpPr/>
      </xdr:nvSpPr>
      <xdr:spPr>
        <a:xfrm>
          <a:off x="7867650" y="17000221"/>
          <a:ext cx="1729740" cy="381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600" b="1"/>
            <a:t>ORIGINAL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168F-C091-4665-A4C8-C891C57CD272}">
  <sheetPr>
    <pageSetUpPr fitToPage="1"/>
  </sheetPr>
  <dimension ref="A1:Q37"/>
  <sheetViews>
    <sheetView showGridLines="0" tabSelected="1" topLeftCell="D31" zoomScaleNormal="100" workbookViewId="0">
      <selection activeCell="A34" sqref="A34:J34"/>
    </sheetView>
  </sheetViews>
  <sheetFormatPr defaultRowHeight="14.5" x14ac:dyDescent="0.35"/>
  <cols>
    <col min="1" max="1" width="8.7265625" hidden="1" customWidth="1"/>
    <col min="2" max="2" width="3.36328125" hidden="1" customWidth="1"/>
    <col min="3" max="3" width="4.36328125" hidden="1" customWidth="1"/>
    <col min="4" max="4" width="26.81640625" customWidth="1"/>
    <col min="5" max="5" width="16" customWidth="1"/>
    <col min="6" max="6" width="18.36328125" customWidth="1"/>
    <col min="7" max="7" width="18.1796875" customWidth="1"/>
    <col min="8" max="8" width="13.81640625" bestFit="1" customWidth="1"/>
    <col min="9" max="9" width="12.54296875" customWidth="1"/>
    <col min="10" max="10" width="48.7265625" customWidth="1"/>
    <col min="11" max="11" width="0.1796875" customWidth="1"/>
  </cols>
  <sheetData>
    <row r="1" spans="4:11" ht="61.5" x14ac:dyDescent="1.35">
      <c r="D1" s="81" t="s">
        <v>0</v>
      </c>
      <c r="E1" s="81"/>
      <c r="F1" s="81"/>
      <c r="G1" s="81"/>
      <c r="H1" s="81"/>
      <c r="I1" s="81"/>
      <c r="J1" s="81"/>
    </row>
    <row r="2" spans="4:11" ht="11.25" customHeight="1" thickBot="1" x14ac:dyDescent="0.4">
      <c r="D2" s="82"/>
      <c r="E2" s="82"/>
      <c r="F2" s="82"/>
      <c r="G2" s="82"/>
      <c r="H2" s="82"/>
      <c r="I2" s="82"/>
      <c r="J2" s="82"/>
    </row>
    <row r="3" spans="4:11" ht="28.5" x14ac:dyDescent="0.35">
      <c r="D3" s="83" t="s">
        <v>1</v>
      </c>
      <c r="E3" s="84"/>
      <c r="F3" s="85"/>
      <c r="G3" s="85"/>
      <c r="H3" s="85"/>
      <c r="I3" s="85"/>
      <c r="J3" s="86"/>
    </row>
    <row r="4" spans="4:11" ht="37.5" customHeight="1" x14ac:dyDescent="0.35">
      <c r="D4" s="87" t="s">
        <v>40</v>
      </c>
      <c r="E4" s="88"/>
      <c r="F4" s="91" t="s">
        <v>2</v>
      </c>
      <c r="G4" s="92"/>
      <c r="H4" s="98" t="s">
        <v>69</v>
      </c>
      <c r="I4" s="99"/>
      <c r="J4" s="100"/>
      <c r="K4" t="s">
        <v>3</v>
      </c>
    </row>
    <row r="5" spans="4:11" ht="29.25" customHeight="1" x14ac:dyDescent="0.35">
      <c r="D5" s="89"/>
      <c r="E5" s="90"/>
      <c r="F5" s="93" t="s">
        <v>32</v>
      </c>
      <c r="G5" s="94"/>
      <c r="H5" s="95" t="s">
        <v>59</v>
      </c>
      <c r="I5" s="96"/>
      <c r="J5" s="97"/>
    </row>
    <row r="6" spans="4:11" ht="24" customHeight="1" x14ac:dyDescent="0.35">
      <c r="D6" s="55" t="s">
        <v>43</v>
      </c>
      <c r="E6" s="56"/>
      <c r="F6" s="72" t="s">
        <v>33</v>
      </c>
      <c r="G6" s="73"/>
      <c r="H6" s="74" t="s">
        <v>60</v>
      </c>
      <c r="I6" s="75"/>
      <c r="J6" s="76"/>
    </row>
    <row r="7" spans="4:11" ht="34.75" customHeight="1" x14ac:dyDescent="0.35">
      <c r="D7" s="57"/>
      <c r="E7" s="58"/>
      <c r="F7" s="41" t="s">
        <v>30</v>
      </c>
      <c r="G7" s="42"/>
      <c r="H7" s="43" t="s">
        <v>31</v>
      </c>
      <c r="I7" s="44"/>
      <c r="J7" s="45"/>
    </row>
    <row r="8" spans="4:11" ht="34.75" customHeight="1" x14ac:dyDescent="0.35">
      <c r="D8" s="59"/>
      <c r="E8" s="60"/>
      <c r="F8" s="41" t="s">
        <v>42</v>
      </c>
      <c r="G8" s="42"/>
      <c r="H8" s="72">
        <v>9610482</v>
      </c>
      <c r="I8" s="44"/>
      <c r="J8" s="45"/>
    </row>
    <row r="9" spans="4:11" ht="81.5" customHeight="1" x14ac:dyDescent="0.35">
      <c r="D9" s="9" t="s">
        <v>4</v>
      </c>
      <c r="E9" s="46" t="s">
        <v>41</v>
      </c>
      <c r="F9" s="47"/>
      <c r="G9" s="48"/>
      <c r="H9" s="67" t="s">
        <v>52</v>
      </c>
      <c r="I9" s="11" t="s">
        <v>39</v>
      </c>
      <c r="J9" s="12" t="s">
        <v>38</v>
      </c>
    </row>
    <row r="10" spans="4:11" ht="26.5" customHeight="1" x14ac:dyDescent="0.35">
      <c r="D10" s="13" t="s">
        <v>5</v>
      </c>
      <c r="E10" s="69" t="s">
        <v>34</v>
      </c>
      <c r="F10" s="70"/>
      <c r="G10" s="71"/>
      <c r="H10" s="68"/>
      <c r="I10" s="14" t="s">
        <v>6</v>
      </c>
      <c r="J10" s="15" t="s">
        <v>6</v>
      </c>
    </row>
    <row r="11" spans="4:11" ht="22.5" customHeight="1" x14ac:dyDescent="0.35">
      <c r="D11" s="16" t="s">
        <v>7</v>
      </c>
      <c r="E11" s="61">
        <v>46065</v>
      </c>
      <c r="F11" s="62"/>
      <c r="G11" s="62"/>
      <c r="H11" s="63">
        <v>55900</v>
      </c>
      <c r="I11" s="65">
        <v>34.85</v>
      </c>
      <c r="J11" s="77">
        <f>H11*I11</f>
        <v>1948115</v>
      </c>
    </row>
    <row r="12" spans="4:11" ht="21.65" customHeight="1" x14ac:dyDescent="0.35">
      <c r="D12" s="16" t="s">
        <v>8</v>
      </c>
      <c r="E12" s="52" t="s">
        <v>44</v>
      </c>
      <c r="F12" s="53"/>
      <c r="G12" s="54"/>
      <c r="H12" s="64"/>
      <c r="I12" s="66"/>
      <c r="J12" s="78"/>
    </row>
    <row r="13" spans="4:11" ht="21" customHeight="1" x14ac:dyDescent="0.35">
      <c r="D13" s="17" t="s">
        <v>9</v>
      </c>
      <c r="E13" s="79" t="s">
        <v>10</v>
      </c>
      <c r="F13" s="80"/>
      <c r="G13" s="80"/>
      <c r="H13" s="64"/>
      <c r="I13" s="66"/>
      <c r="J13" s="78"/>
    </row>
    <row r="14" spans="4:11" ht="31.4" customHeight="1" x14ac:dyDescent="0.35">
      <c r="D14" s="19" t="s">
        <v>11</v>
      </c>
      <c r="E14" s="49" t="s">
        <v>12</v>
      </c>
      <c r="F14" s="50"/>
      <c r="G14" s="50"/>
      <c r="H14" s="64"/>
      <c r="I14" s="66"/>
      <c r="J14" s="78"/>
    </row>
    <row r="15" spans="4:11" ht="95.5" customHeight="1" x14ac:dyDescent="0.35">
      <c r="D15" s="20" t="s">
        <v>13</v>
      </c>
      <c r="E15" s="104" t="s">
        <v>70</v>
      </c>
      <c r="F15" s="105"/>
      <c r="G15" s="105"/>
      <c r="H15" s="64"/>
      <c r="I15" s="66"/>
      <c r="J15" s="78"/>
    </row>
    <row r="16" spans="4:11" ht="25" customHeight="1" x14ac:dyDescent="0.35">
      <c r="D16" s="20" t="s">
        <v>14</v>
      </c>
      <c r="E16" s="49" t="s">
        <v>35</v>
      </c>
      <c r="F16" s="50"/>
      <c r="G16" s="51"/>
      <c r="H16" s="64"/>
      <c r="I16" s="66"/>
      <c r="J16" s="78"/>
    </row>
    <row r="17" spans="4:17" ht="18" customHeight="1" x14ac:dyDescent="0.35">
      <c r="D17" s="20" t="s">
        <v>53</v>
      </c>
      <c r="E17" s="103" t="s">
        <v>58</v>
      </c>
      <c r="F17" s="103"/>
      <c r="G17" s="103"/>
      <c r="H17" s="64"/>
      <c r="I17" s="66"/>
      <c r="J17" s="78"/>
    </row>
    <row r="18" spans="4:17" ht="35" customHeight="1" x14ac:dyDescent="0.35">
      <c r="D18" s="20" t="s">
        <v>55</v>
      </c>
      <c r="E18" s="101" t="s">
        <v>61</v>
      </c>
      <c r="F18" s="102"/>
      <c r="G18" s="102"/>
      <c r="H18" s="64"/>
      <c r="I18" s="66"/>
      <c r="J18" s="78"/>
    </row>
    <row r="19" spans="4:17" ht="22" customHeight="1" x14ac:dyDescent="0.35">
      <c r="D19" s="107" t="s">
        <v>45</v>
      </c>
      <c r="E19" s="108"/>
      <c r="F19" s="108"/>
      <c r="G19" s="109"/>
      <c r="H19" s="64"/>
      <c r="I19" s="66"/>
      <c r="J19" s="78"/>
    </row>
    <row r="20" spans="4:17" ht="28.25" customHeight="1" x14ac:dyDescent="0.35">
      <c r="D20" s="40" t="s">
        <v>36</v>
      </c>
      <c r="E20" s="21" t="s">
        <v>15</v>
      </c>
      <c r="F20" s="22" t="s">
        <v>16</v>
      </c>
      <c r="G20" s="23" t="s">
        <v>54</v>
      </c>
      <c r="H20" s="64"/>
      <c r="I20" s="66"/>
      <c r="J20" s="78"/>
    </row>
    <row r="21" spans="4:17" ht="31" customHeight="1" x14ac:dyDescent="0.35">
      <c r="D21" s="24" t="s">
        <v>17</v>
      </c>
      <c r="E21" s="25" t="s">
        <v>75</v>
      </c>
      <c r="F21" s="26" t="s">
        <v>18</v>
      </c>
      <c r="G21" s="27" t="s">
        <v>62</v>
      </c>
      <c r="H21" s="64"/>
      <c r="I21" s="66"/>
      <c r="J21" s="78"/>
    </row>
    <row r="22" spans="4:17" ht="25" customHeight="1" x14ac:dyDescent="0.35">
      <c r="D22" s="19" t="s">
        <v>19</v>
      </c>
      <c r="E22" s="28" t="s">
        <v>37</v>
      </c>
      <c r="F22" s="14" t="s">
        <v>20</v>
      </c>
      <c r="G22" s="28" t="s">
        <v>63</v>
      </c>
      <c r="H22" s="64"/>
      <c r="I22" s="66"/>
      <c r="J22" s="78"/>
    </row>
    <row r="23" spans="4:17" ht="28.5" customHeight="1" x14ac:dyDescent="0.35">
      <c r="D23" s="29" t="s">
        <v>21</v>
      </c>
      <c r="E23" s="30" t="s">
        <v>76</v>
      </c>
      <c r="F23" s="31" t="s">
        <v>18</v>
      </c>
      <c r="G23" s="32" t="s">
        <v>71</v>
      </c>
      <c r="H23" s="64"/>
      <c r="I23" s="66"/>
      <c r="J23" s="78"/>
    </row>
    <row r="24" spans="4:17" ht="24.5" customHeight="1" x14ac:dyDescent="0.35">
      <c r="D24" s="19" t="s">
        <v>22</v>
      </c>
      <c r="E24" s="18" t="s">
        <v>49</v>
      </c>
      <c r="F24" s="14" t="s">
        <v>18</v>
      </c>
      <c r="G24" s="28" t="s">
        <v>64</v>
      </c>
      <c r="H24" s="64"/>
      <c r="I24" s="66"/>
      <c r="J24" s="78"/>
    </row>
    <row r="25" spans="4:17" ht="30" customHeight="1" x14ac:dyDescent="0.35">
      <c r="D25" s="19" t="s">
        <v>23</v>
      </c>
      <c r="E25" s="18" t="s">
        <v>24</v>
      </c>
      <c r="F25" s="14" t="s">
        <v>25</v>
      </c>
      <c r="G25" s="27" t="s">
        <v>65</v>
      </c>
      <c r="H25" s="64"/>
      <c r="I25" s="66"/>
      <c r="J25" s="78"/>
    </row>
    <row r="26" spans="4:17" ht="33" customHeight="1" x14ac:dyDescent="0.35">
      <c r="D26" s="20" t="s">
        <v>26</v>
      </c>
      <c r="E26" s="18" t="s">
        <v>46</v>
      </c>
      <c r="F26" s="10" t="s">
        <v>47</v>
      </c>
      <c r="G26" s="28" t="s">
        <v>72</v>
      </c>
      <c r="H26" s="64"/>
      <c r="I26" s="66"/>
      <c r="J26" s="78"/>
    </row>
    <row r="27" spans="4:17" ht="34.25" customHeight="1" x14ac:dyDescent="0.35">
      <c r="D27" s="19" t="s">
        <v>27</v>
      </c>
      <c r="E27" s="33" t="s">
        <v>28</v>
      </c>
      <c r="F27" s="34" t="s">
        <v>18</v>
      </c>
      <c r="G27" s="8" t="s">
        <v>66</v>
      </c>
      <c r="H27" s="64"/>
      <c r="I27" s="66"/>
      <c r="J27" s="78"/>
    </row>
    <row r="28" spans="4:17" ht="22" customHeight="1" x14ac:dyDescent="0.35">
      <c r="D28" s="20" t="s">
        <v>48</v>
      </c>
      <c r="E28" s="18" t="s">
        <v>50</v>
      </c>
      <c r="F28" s="14" t="s">
        <v>18</v>
      </c>
      <c r="G28" s="18">
        <v>40</v>
      </c>
      <c r="H28" s="64"/>
      <c r="I28" s="66"/>
      <c r="J28" s="78"/>
    </row>
    <row r="29" spans="4:17" ht="27" customHeight="1" x14ac:dyDescent="0.35">
      <c r="D29" s="35" t="s">
        <v>29</v>
      </c>
      <c r="E29" s="36" t="s">
        <v>51</v>
      </c>
      <c r="F29" s="37" t="s">
        <v>18</v>
      </c>
      <c r="G29" s="36" t="s">
        <v>67</v>
      </c>
      <c r="H29" s="64"/>
      <c r="I29" s="66"/>
      <c r="J29" s="78"/>
    </row>
    <row r="30" spans="4:17" ht="68.400000000000006" customHeight="1" x14ac:dyDescent="0.35">
      <c r="D30" s="115" t="s">
        <v>68</v>
      </c>
      <c r="E30" s="116"/>
      <c r="F30" s="116"/>
      <c r="G30" s="117"/>
      <c r="H30" s="38" t="s">
        <v>3</v>
      </c>
      <c r="I30" s="38"/>
      <c r="J30" s="39">
        <f>J11</f>
        <v>1948115</v>
      </c>
    </row>
    <row r="31" spans="4:17" ht="300" customHeight="1" thickBot="1" x14ac:dyDescent="0.4">
      <c r="D31" s="110" t="s">
        <v>73</v>
      </c>
      <c r="E31" s="111"/>
      <c r="F31" s="111"/>
      <c r="G31" s="111"/>
      <c r="H31" s="112"/>
      <c r="I31" s="113"/>
      <c r="J31" s="114"/>
      <c r="Q31" t="s">
        <v>3</v>
      </c>
    </row>
    <row r="32" spans="4:17" ht="52.5" customHeight="1" x14ac:dyDescent="0.35">
      <c r="D32" s="6" t="s">
        <v>74</v>
      </c>
      <c r="E32" s="2"/>
      <c r="F32" s="2"/>
      <c r="G32" s="2"/>
      <c r="H32" s="5"/>
      <c r="I32" s="5"/>
      <c r="J32" s="5"/>
    </row>
    <row r="33" spans="1:11" ht="29.5" customHeight="1" x14ac:dyDescent="0.35">
      <c r="D33" s="7" t="s">
        <v>57</v>
      </c>
      <c r="E33" s="2"/>
      <c r="F33" s="2"/>
      <c r="G33" s="2"/>
      <c r="H33" s="5"/>
      <c r="I33" s="5"/>
      <c r="J33" s="5"/>
    </row>
    <row r="34" spans="1:11" ht="118.5" customHeight="1" x14ac:dyDescent="0.35">
      <c r="A34" s="106" t="s">
        <v>56</v>
      </c>
      <c r="B34" s="106"/>
      <c r="C34" s="106"/>
      <c r="D34" s="106"/>
      <c r="E34" s="106"/>
      <c r="F34" s="106"/>
      <c r="G34" s="106"/>
      <c r="H34" s="106"/>
      <c r="I34" s="106"/>
      <c r="J34" s="106"/>
    </row>
    <row r="35" spans="1:11" ht="110" customHeight="1" x14ac:dyDescent="0.35">
      <c r="D35" s="2"/>
      <c r="E35" s="2"/>
      <c r="F35" s="2"/>
      <c r="G35" s="2"/>
      <c r="H35" s="2"/>
      <c r="I35" s="3"/>
      <c r="J35" s="3"/>
    </row>
    <row r="36" spans="1:11" ht="79.5" customHeight="1" x14ac:dyDescent="0.35">
      <c r="D36" s="4"/>
      <c r="E36" s="4"/>
      <c r="F36" s="4"/>
      <c r="G36" s="4"/>
      <c r="H36" s="4"/>
      <c r="I36" s="3"/>
      <c r="J36" s="3"/>
      <c r="K36" s="1"/>
    </row>
    <row r="37" spans="1:11" x14ac:dyDescent="0.35">
      <c r="D37" s="2"/>
      <c r="E37" s="2"/>
      <c r="F37" s="2"/>
      <c r="G37" s="2"/>
      <c r="H37" s="2"/>
      <c r="I37" s="3"/>
      <c r="J37" s="3"/>
    </row>
  </sheetData>
  <mergeCells count="34">
    <mergeCell ref="F8:G8"/>
    <mergeCell ref="E18:G18"/>
    <mergeCell ref="E17:G17"/>
    <mergeCell ref="E15:G15"/>
    <mergeCell ref="A34:J34"/>
    <mergeCell ref="D19:G19"/>
    <mergeCell ref="D31:G31"/>
    <mergeCell ref="H31:J31"/>
    <mergeCell ref="D30:G30"/>
    <mergeCell ref="H8:J8"/>
    <mergeCell ref="D1:J1"/>
    <mergeCell ref="D2:J2"/>
    <mergeCell ref="D3:J3"/>
    <mergeCell ref="D4:E5"/>
    <mergeCell ref="F4:G4"/>
    <mergeCell ref="F5:G5"/>
    <mergeCell ref="H5:J5"/>
    <mergeCell ref="H4:J4"/>
    <mergeCell ref="F7:G7"/>
    <mergeCell ref="H7:J7"/>
    <mergeCell ref="E9:G9"/>
    <mergeCell ref="E16:G16"/>
    <mergeCell ref="E12:G12"/>
    <mergeCell ref="D6:E8"/>
    <mergeCell ref="E11:G11"/>
    <mergeCell ref="H11:H29"/>
    <mergeCell ref="I11:I29"/>
    <mergeCell ref="H9:H10"/>
    <mergeCell ref="E10:G10"/>
    <mergeCell ref="F6:G6"/>
    <mergeCell ref="H6:J6"/>
    <mergeCell ref="J11:J29"/>
    <mergeCell ref="E13:G13"/>
    <mergeCell ref="E14:G14"/>
  </mergeCells>
  <printOptions horizontalCentered="1" verticalCentered="1"/>
  <pageMargins left="0.25" right="0.25" top="0.25" bottom="0.25" header="0.3" footer="0.3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DEAB-1685-40DF-B0FD-C956E0D267F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feb013-9e48-4b72-9d62-f6092613a381">
      <Terms xmlns="http://schemas.microsoft.com/office/infopath/2007/PartnerControls"/>
    </lcf76f155ced4ddcb4097134ff3c332f>
    <TaxCatchAll xmlns="db49d638-7d6a-4e1e-bb61-2528d34bcc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88327666EA2343B8EA7AA12A1E79C4" ma:contentTypeVersion="10" ma:contentTypeDescription="Create a new document." ma:contentTypeScope="" ma:versionID="2161b2f1bdb2f7e61f87f547bc7a1ac3">
  <xsd:schema xmlns:xsd="http://www.w3.org/2001/XMLSchema" xmlns:xs="http://www.w3.org/2001/XMLSchema" xmlns:p="http://schemas.microsoft.com/office/2006/metadata/properties" xmlns:ns2="7dfeb013-9e48-4b72-9d62-f6092613a381" xmlns:ns3="db49d638-7d6a-4e1e-bb61-2528d34bcc03" targetNamespace="http://schemas.microsoft.com/office/2006/metadata/properties" ma:root="true" ma:fieldsID="cb7a33eb1ed7634004d953effc4d247b" ns2:_="" ns3:_="">
    <xsd:import namespace="7dfeb013-9e48-4b72-9d62-f6092613a381"/>
    <xsd:import namespace="db49d638-7d6a-4e1e-bb61-2528d34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feb013-9e48-4b72-9d62-f6092613a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224867-153a-4516-b4fa-7a5a9ad38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9d638-7d6a-4e1e-bb61-2528d34bcc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b692a-c4e7-4fee-9a04-96e2682efa5e}" ma:internalName="TaxCatchAll" ma:showField="CatchAllData" ma:web="db49d638-7d6a-4e1e-bb61-2528d34bc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452089-179B-4683-B4B2-ACBBA768C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15363-3BDD-496E-A56A-BF4E87C96320}">
  <ds:schemaRefs>
    <ds:schemaRef ds:uri="http://schemas.microsoft.com/office/2006/metadata/properties"/>
    <ds:schemaRef ds:uri="http://schemas.microsoft.com/office/infopath/2007/PartnerControls"/>
    <ds:schemaRef ds:uri="7dfeb013-9e48-4b72-9d62-f6092613a381"/>
    <ds:schemaRef ds:uri="db49d638-7d6a-4e1e-bb61-2528d34bcc03"/>
  </ds:schemaRefs>
</ds:datastoreItem>
</file>

<file path=customXml/itemProps3.xml><?xml version="1.0" encoding="utf-8"?>
<ds:datastoreItem xmlns:ds="http://schemas.openxmlformats.org/officeDocument/2006/customXml" ds:itemID="{22D65BD9-5325-4865-9FE0-1CE5DA8151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feb013-9e48-4b72-9d62-f6092613a381"/>
    <ds:schemaRef ds:uri="db49d638-7d6a-4e1e-bb61-2528d34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</vt:lpstr>
      <vt:lpstr>Sheet1</vt:lpstr>
      <vt:lpstr>CI!Print_Area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Veerendra Kedarnath Chandalada</dc:creator>
  <cp:keywords/>
  <dc:description/>
  <cp:lastModifiedBy>Priya</cp:lastModifiedBy>
  <cp:revision/>
  <cp:lastPrinted>2026-03-09T06:37:36Z</cp:lastPrinted>
  <dcterms:created xsi:type="dcterms:W3CDTF">2017-09-06T23:32:08Z</dcterms:created>
  <dcterms:modified xsi:type="dcterms:W3CDTF">2026-03-19T05:43:05Z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0x0101003288327666EA2343B8EA7AA12A1E79C4</vt:lpwstr>
  </property>
  <property fmtid="{D5CDD505-2E9C-101B-9397-08002B2CF9AE}" pid="3" name="MediaServiceImageTags">
    <vt:lpwstr/>
  </property>
</Properties>
</file>