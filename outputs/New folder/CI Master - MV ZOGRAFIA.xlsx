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66925"/>
  <mc:AlternateContent xmlns:mc="http://schemas.openxmlformats.org/markup-compatibility/2006">
    <mc:Choice Requires="x15">
      <x15ac:absPath xmlns:x15ac="http://schemas.microsoft.com/office/spreadsheetml/2010/11/ac" url="https://saiiresourcespteltd.sharepoint.com/sites/trading-finance/Shared Documents/COMMON/COMMON/SRPL/1. EXPORT LC/EGGT/2026/1.  MV ZOGRAFIA/EXPORT - EGGT/"/>
    </mc:Choice>
  </mc:AlternateContent>
  <xr:revisionPtr revIDLastSave="163" documentId="8_{753BA702-E49C-4BA9-9A03-97CEEF633881}" xr6:coauthVersionLast="47" xr6:coauthVersionMax="47" xr10:uidLastSave="{BE782B5B-1C8E-4DD1-AB75-3DFCE99AC270}"/>
  <bookViews>
    <workbookView xWindow="-110" yWindow="-110" windowWidth="19420" windowHeight="11500" xr2:uid="{00000000-000D-0000-FFFF-FFFF00000000}"/>
  </bookViews>
  <sheets>
    <sheet name="CI" sheetId="15" r:id="rId1"/>
  </sheets>
  <definedNames>
    <definedName name="_xlnm.Print_Area" localSheetId="0">CI!$A$2:$G$39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5" l="1"/>
  <c r="G33" i="15" s="1"/>
</calcChain>
</file>

<file path=xl/sharedStrings.xml><?xml version="1.0" encoding="utf-8"?>
<sst xmlns="http://schemas.openxmlformats.org/spreadsheetml/2006/main" count="79" uniqueCount="73">
  <si>
    <t>USD</t>
  </si>
  <si>
    <t>COMMERCIAL INVOICE</t>
  </si>
  <si>
    <t xml:space="preserve">INDONESIA </t>
  </si>
  <si>
    <t xml:space="preserve"> Total
 Amount</t>
  </si>
  <si>
    <t xml:space="preserve"> VOLATILE MATTER (ADB)</t>
  </si>
  <si>
    <t xml:space="preserve"> FIXED CARBON (ADB)</t>
  </si>
  <si>
    <t>TYPICAL</t>
  </si>
  <si>
    <t xml:space="preserve">ACTUAL RESULTS </t>
  </si>
  <si>
    <t xml:space="preserve"> PORT OF LOADING</t>
  </si>
  <si>
    <t>COMMERCIAL INVOICE NO &amp; DATE</t>
  </si>
  <si>
    <t>SAII RESOURCES PTE LTD</t>
  </si>
  <si>
    <t xml:space="preserve">BY DIFFERENCE </t>
  </si>
  <si>
    <t>REJECTION</t>
  </si>
  <si>
    <t xml:space="preserve"> TOTAL MOISTURE (ARB)</t>
  </si>
  <si>
    <t xml:space="preserve"> INHERENT MOISTURE (ADB)</t>
  </si>
  <si>
    <t>VESSEL NAME</t>
  </si>
  <si>
    <t xml:space="preserve"> CONTRACT NUMBER </t>
  </si>
  <si>
    <t xml:space="preserve">Make all payments to :
SAII RESOURCES PTE. LTD.
Account Number : 88205029613 (USD)
Bank Name: ICICI Bank Ltd Singapore, ICICI SWIFT Bank Identifier Code (BIC): ICICISGSGXXX
ICICI Branch address:
9 Raffles Place , #50-01 Republic Plaza , Singapore 048619
</t>
  </si>
  <si>
    <t>LC ISSUING BANK</t>
  </si>
  <si>
    <r>
      <t xml:space="preserve"> For </t>
    </r>
    <r>
      <rPr>
        <b/>
        <sz val="11"/>
        <rFont val="Calibri"/>
        <family val="2"/>
        <scheme val="minor"/>
      </rPr>
      <t>SAII RESOURCES PTE LTD</t>
    </r>
    <r>
      <rPr>
        <sz val="11"/>
        <rFont val="Calibri"/>
        <family val="2"/>
        <scheme val="minor"/>
      </rPr>
      <t xml:space="preserve">
 Authorised Signatory</t>
    </r>
  </si>
  <si>
    <t xml:space="preserve">  PARAMETER</t>
  </si>
  <si>
    <t>NO REJECTION</t>
  </si>
  <si>
    <t>VESSEL IMO NUMBER</t>
  </si>
  <si>
    <t xml:space="preserve"> SPECIFICATIONS AS PER ASTM STANDARD:</t>
  </si>
  <si>
    <t xml:space="preserve"> ASH (ADB)</t>
  </si>
  <si>
    <t xml:space="preserve"> SULPHUR (ADB)</t>
  </si>
  <si>
    <t xml:space="preserve">
GROSS CALORIFIC VALUE (ARB)
</t>
  </si>
  <si>
    <t xml:space="preserve"> HARD GROVE INDEX (HGI)</t>
  </si>
  <si>
    <t>42 APPROX</t>
  </si>
  <si>
    <t>90 PCT APPROX</t>
  </si>
  <si>
    <t>Total Quantity
 of Coal Shipped
(In MT)</t>
  </si>
  <si>
    <t>LC NUMBER</t>
  </si>
  <si>
    <t xml:space="preserve">COUNTRY OF ORIGIN </t>
  </si>
  <si>
    <t>BILL OF LADING NUMBER</t>
  </si>
  <si>
    <t xml:space="preserve">BILL OF LADING DATE </t>
  </si>
  <si>
    <t xml:space="preserve"> </t>
  </si>
  <si>
    <t xml:space="preserve">SAII RESOURCES PTE LTD
40A, ORCHARD ROAD, 03-01,
MACDONALD HOUSE 238838, SINGAPORE </t>
  </si>
  <si>
    <t>EGGT GENERAL TRADING LLC
301, EGGT BUILDING 01, AL QUOZ 3
DUBAI
UNITED ARAB EMIRATES</t>
  </si>
  <si>
    <t>COMMERCIAL BANK INTERNATIONAL P.J.S.C.</t>
  </si>
  <si>
    <t>ANY PORT(S) IN INDIA</t>
  </si>
  <si>
    <t xml:space="preserve"> SIZE (0 - 200 MM) CRUSHED </t>
  </si>
  <si>
    <t>45 PCT APPROX</t>
  </si>
  <si>
    <t>15 PCT APPROX</t>
  </si>
  <si>
    <t>42 PCT APPROX</t>
  </si>
  <si>
    <t>3,400 KCAL / KG</t>
  </si>
  <si>
    <t>ABOVE 10 PCT</t>
  </si>
  <si>
    <t>ABOVE 0.5 PCT</t>
  </si>
  <si>
    <t>BELOW 3,200 KCAL / KG</t>
  </si>
  <si>
    <t>PEUNAGA ANCHORAGE, ACEH PROVINCE, INDONESIA</t>
  </si>
  <si>
    <t>MV ZOGRAFIA</t>
  </si>
  <si>
    <t>LC  DATE</t>
  </si>
  <si>
    <t>PORT OF DISCHARGE</t>
  </si>
  <si>
    <t xml:space="preserve">THE SPECIFICATIONS LISTED  ABOVE ARE TYPICAL SPECIFICATIONS AS CONTRACTUALLY AGREED. NEVERTHELESS, IF THE CERTIFICATE OF SAMPLING AND ANALYSIS ISSUED AT THE LOADING PORT BY  INDEPENDENT SURVEYOR SHOWS RESULTS THAT ARE BELOW OR ABOVE THE TYPICAL BUT WITHIN THE REJECTION LIMITS  MENTIONED ABOVE, THE BENEFICIARY MAY NEGOTIATE THE DOCUMENTS WITHOUT DISCREPANCY.FOR THE SPECIFICATIONS WITHOUT REJECTION LIMITS, ANY VALUES ARE ACCEPTABLE AND THE BENEFICIARY CAN ALWAYS NEGOTIATE THE DOCUMENTS WITHOUT DISCREPANCY.
</t>
  </si>
  <si>
    <t xml:space="preserve">55,000 MT PLUS OR MINUS 10 PCT STEAM (NON- COKING) COAL IN BULK OF INDONESIAN ORIGIN 
AT BASE PRICE OF USD 39.74 PER METRIC TON BASIS GCV (ARB) 3400 KCAL/KG  FOB, MV AT PEUNAGA ANCHORAGE, ACEH PROVINCE, INDONESIA, 
</t>
  </si>
  <si>
    <t xml:space="preserve">THE CARGO VALUE OF 100PCT (ONE HUNDRED PERCENT)  SPECIFYING THE QUANTITY AND QUALITY AS DETERMINED AT THE LOADING PORT PURSUANT TO CERTIFICATE OF SAMPLING AND ANALYSIS MADE BY INDEPENDENT SURVEYOR.
</t>
  </si>
  <si>
    <t>WE CERTIFYING GOODS NOT IN NEGATIVE LIST</t>
  </si>
  <si>
    <t xml:space="preserve"> DESCRIPTION OF GOODS </t>
  </si>
  <si>
    <t>8 PCT APPROX</t>
  </si>
  <si>
    <t xml:space="preserve">0.3 PCT </t>
  </si>
  <si>
    <t>SRPL25S063-003</t>
  </si>
  <si>
    <t>Adjusted  Price (Per MT)</t>
  </si>
  <si>
    <t>44.69 PCT</t>
  </si>
  <si>
    <t>7.67 PCT</t>
  </si>
  <si>
    <t>16.52 PCT</t>
  </si>
  <si>
    <t>40.99 PCT</t>
  </si>
  <si>
    <t>0.18 PCT</t>
  </si>
  <si>
    <t>3282 KCAL/KG</t>
  </si>
  <si>
    <t>34.82 BY DIFFERENCE</t>
  </si>
  <si>
    <t>99.27 PCT</t>
  </si>
  <si>
    <r>
      <t>CALCULATION FOR PRICE ADJUSTMENTS
PRICE ADJUSTMENT:
PRICE ADJUSTMENT FOR GCV (ARB)
IF THE ACTUAL GROSS CALORIFIC VALUE (ARB) AS PER CERTIFICATE OF SAMPLING AND ANALYSIS ISSUED BY INDEPENDENT SURVEYOR AT LOADING PORT IS ABOVE OR BELOW 3,400 KCAL/KG BUT WITHIN THE REJECTION LIMIT, THE BASE PRICE WILL BE ADJUSTED AS PER FOLLOWING FORMULA.
ADJUSTED PRICE EQUALS TO (BASE PRICE MULTIPLE BY ACTUAL GCV (ARB) DIVIDED BY 3400KCAL/KG)
ADJUSTED PRICE =  USD 39.74 X 3282/3400 KCAL/KG
                                          =  USD</t>
    </r>
    <r>
      <rPr>
        <sz val="11"/>
        <rFont val="Calibri"/>
        <family val="2"/>
        <scheme val="minor"/>
      </rPr>
      <t xml:space="preserve"> 38.36</t>
    </r>
    <r>
      <rPr>
        <sz val="11"/>
        <color theme="1"/>
        <rFont val="Calibri"/>
        <family val="2"/>
        <scheme val="minor"/>
      </rPr>
      <t xml:space="preserve"> PER METRIC TON</t>
    </r>
    <r>
      <rPr>
        <b/>
        <sz val="11"/>
        <color theme="1"/>
        <rFont val="Calibri"/>
        <family val="2"/>
        <scheme val="minor"/>
      </rPr>
      <t xml:space="preserve">
</t>
    </r>
    <r>
      <rPr>
        <sz val="11"/>
        <color theme="1"/>
        <rFont val="Calibri"/>
        <family val="2"/>
        <scheme val="minor"/>
      </rPr>
      <t xml:space="preserve"> 
                                       </t>
    </r>
  </si>
  <si>
    <t>CI-SAII/EGGT-224/III-2026
MAR 17 , 2026</t>
  </si>
  <si>
    <t>2064AMHIND2026 UPTO 2066AMHIND26</t>
  </si>
  <si>
    <r>
      <t>The calculation of the payable amount:
(US Dollar</t>
    </r>
    <r>
      <rPr>
        <sz val="11"/>
        <rFont val="Calibri"/>
        <family val="2"/>
        <scheme val="minor"/>
      </rPr>
      <t xml:space="preserve"> Two Million One Hundred Seventy -Six Thousand Nine Hundred Thirty Only)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</si>
</sst>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43" formatCode="_-* #,##0.00_-;\-* #,##0.00_-;_-* &quot;-&quot;??_-;_-@_-"/>
    <numFmt numFmtId="164" formatCode="_-* #,##0_-;\-* #,##0_-;_-* &quot;-&quot;??_-;_-@_-"/>
    <numFmt numFmtId="165" formatCode="0.0%"/>
  </numFmts>
  <fonts count="15" x14ac:knownFonts="1">
    <font>
      <sz val="11"/>
      <color theme="1"/>
      <name val="Calibri"/>
      <family val="2"/>
      <scheme val="minor"/>
    </font>
    <font>
      <sz val="11"/>
      <color theme="1"/>
      <name val="Calibri"/>
      <family val="2"/>
      <scheme val="minor"/>
    </font>
    <font>
      <b/>
      <sz val="16"/>
      <color theme="1"/>
      <name val="Calibri"/>
      <family val="2"/>
      <scheme val="minor"/>
    </font>
    <font>
      <sz val="11"/>
      <name val="Calibri"/>
      <family val="2"/>
      <scheme val="minor"/>
    </font>
    <font>
      <b/>
      <sz val="48"/>
      <color theme="1"/>
      <name val="Calibri"/>
      <family val="2"/>
      <scheme val="minor"/>
    </font>
    <font>
      <sz val="10"/>
      <name val="Calibri"/>
      <family val="2"/>
      <scheme val="minor"/>
    </font>
    <font>
      <b/>
      <sz val="11"/>
      <name val="Calibri"/>
      <family val="2"/>
      <scheme val="minor"/>
    </font>
    <font>
      <b/>
      <sz val="22"/>
      <name val="Calibri"/>
      <family val="2"/>
      <scheme val="minor"/>
    </font>
    <font>
      <b/>
      <i/>
      <sz val="22"/>
      <name val="Calibri"/>
      <family val="2"/>
      <scheme val="minor"/>
    </font>
    <font>
      <sz val="9"/>
      <name val="Calibri"/>
      <family val="2"/>
      <scheme val="minor"/>
    </font>
    <font>
      <b/>
      <sz val="9"/>
      <name val="Calibri"/>
      <family val="2"/>
      <scheme val="minor"/>
    </font>
    <font>
      <b/>
      <i/>
      <sz val="10"/>
      <name val="Calibri"/>
      <family val="2"/>
      <scheme val="minor"/>
    </font>
    <font>
      <sz val="11"/>
      <color rgb="FFFF0000"/>
      <name val="Calibri"/>
      <family val="2"/>
      <scheme val="minor"/>
    </font>
    <font>
      <b/>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right/>
      <top style="thin">
        <color indexed="64"/>
      </top>
      <bottom/>
      <diagonal/>
    </border>
  </borders>
  <cellStyleXfs count="7">
    <xf numFmtId="0" fontId="0"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98">
    <xf numFmtId="0" fontId="0" fillId="0" borderId="0" xfId="0"/>
    <xf numFmtId="0" fontId="0" fillId="0" borderId="0" xfId="0" applyAlignment="1">
      <alignment vertical="center"/>
    </xf>
    <xf numFmtId="164" fontId="3" fillId="0" borderId="22" xfId="1" applyNumberFormat="1" applyFont="1" applyBorder="1" applyAlignment="1">
      <alignment vertical="center"/>
    </xf>
    <xf numFmtId="0" fontId="5" fillId="0" borderId="15" xfId="0" applyFont="1" applyBorder="1" applyAlignment="1">
      <alignment horizontal="center" vertical="center"/>
    </xf>
    <xf numFmtId="0" fontId="5" fillId="0" borderId="2" xfId="0" applyFont="1" applyBorder="1" applyAlignment="1">
      <alignment horizontal="left" vertical="center"/>
    </xf>
    <xf numFmtId="0" fontId="9" fillId="0" borderId="1" xfId="0" applyFont="1" applyBorder="1" applyAlignment="1">
      <alignment horizontal="center" vertical="center" wrapText="1"/>
    </xf>
    <xf numFmtId="0" fontId="9" fillId="0" borderId="3" xfId="0" applyFont="1" applyBorder="1" applyAlignment="1">
      <alignment horizontal="center" vertical="center"/>
    </xf>
    <xf numFmtId="0" fontId="5" fillId="0" borderId="17" xfId="0" applyFont="1" applyBorder="1" applyAlignment="1">
      <alignment horizontal="left" vertical="center"/>
    </xf>
    <xf numFmtId="0" fontId="9" fillId="0" borderId="21" xfId="0" applyFont="1" applyBorder="1" applyAlignment="1">
      <alignment horizontal="center" vertical="center"/>
    </xf>
    <xf numFmtId="0" fontId="9" fillId="0" borderId="23" xfId="0" applyFont="1" applyBorder="1" applyAlignment="1">
      <alignment horizontal="center" vertical="center"/>
    </xf>
    <xf numFmtId="0" fontId="5" fillId="0" borderId="17" xfId="0" applyFont="1" applyBorder="1" applyAlignment="1">
      <alignment vertical="center"/>
    </xf>
    <xf numFmtId="2" fontId="3" fillId="0" borderId="22" xfId="0" applyNumberFormat="1" applyFont="1" applyBorder="1" applyAlignment="1">
      <alignment vertical="center"/>
    </xf>
    <xf numFmtId="4" fontId="3" fillId="0" borderId="24" xfId="0" applyNumberFormat="1" applyFont="1" applyBorder="1" applyAlignment="1">
      <alignment vertical="center"/>
    </xf>
    <xf numFmtId="0" fontId="5" fillId="0" borderId="2" xfId="0" applyFont="1" applyBorder="1" applyAlignment="1">
      <alignment horizontal="left" vertical="center" wrapText="1"/>
    </xf>
    <xf numFmtId="0" fontId="11" fillId="0" borderId="15" xfId="0" applyFont="1" applyBorder="1" applyAlignment="1">
      <alignment horizontal="center" vertical="center"/>
    </xf>
    <xf numFmtId="0" fontId="11" fillId="0" borderId="1" xfId="0" applyFont="1" applyBorder="1" applyAlignment="1">
      <alignment horizontal="center" vertical="center" wrapText="1"/>
    </xf>
    <xf numFmtId="0" fontId="11" fillId="0" borderId="15" xfId="0" applyFont="1" applyBorder="1" applyAlignment="1">
      <alignment vertical="center"/>
    </xf>
    <xf numFmtId="0" fontId="9" fillId="0" borderId="2" xfId="0" applyFont="1" applyBorder="1" applyAlignment="1">
      <alignment horizontal="left" vertical="center"/>
    </xf>
    <xf numFmtId="0" fontId="5" fillId="0" borderId="1" xfId="0" applyFont="1" applyBorder="1" applyAlignment="1">
      <alignment horizontal="center" vertical="center"/>
    </xf>
    <xf numFmtId="9" fontId="5" fillId="0" borderId="15" xfId="0" applyNumberFormat="1" applyFont="1" applyBorder="1" applyAlignment="1">
      <alignment horizontal="center" vertical="center"/>
    </xf>
    <xf numFmtId="0" fontId="9" fillId="0" borderId="27" xfId="0" applyFont="1" applyBorder="1" applyAlignment="1">
      <alignment horizontal="left" vertical="center"/>
    </xf>
    <xf numFmtId="165" fontId="5" fillId="0" borderId="15" xfId="0" applyNumberFormat="1" applyFont="1" applyBorder="1" applyAlignment="1">
      <alignment horizontal="center" vertical="center"/>
    </xf>
    <xf numFmtId="0" fontId="9" fillId="0" borderId="2" xfId="0" applyFont="1" applyBorder="1" applyAlignment="1">
      <alignment horizontal="left" vertical="center" wrapText="1"/>
    </xf>
    <xf numFmtId="10" fontId="5" fillId="0" borderId="15" xfId="0" applyNumberFormat="1" applyFont="1" applyBorder="1" applyAlignment="1">
      <alignment horizontal="center" vertical="center"/>
    </xf>
    <xf numFmtId="0" fontId="3" fillId="0" borderId="0" xfId="0" applyFont="1" applyAlignment="1">
      <alignment horizontal="left" vertical="center" wrapText="1"/>
    </xf>
    <xf numFmtId="0" fontId="10" fillId="0" borderId="23" xfId="0" applyFont="1" applyBorder="1" applyAlignment="1">
      <alignment horizontal="center" vertical="center"/>
    </xf>
    <xf numFmtId="0" fontId="11" fillId="0" borderId="2" xfId="0" applyFont="1" applyBorder="1" applyAlignment="1">
      <alignment vertical="center"/>
    </xf>
    <xf numFmtId="0" fontId="12" fillId="0" borderId="1" xfId="0" applyFont="1" applyBorder="1" applyAlignment="1">
      <alignment vertical="top" wrapText="1"/>
    </xf>
    <xf numFmtId="2" fontId="0" fillId="0" borderId="22" xfId="0" applyNumberFormat="1" applyBorder="1" applyAlignment="1">
      <alignment horizontal="center" vertical="center"/>
    </xf>
    <xf numFmtId="4" fontId="0" fillId="0" borderId="24" xfId="0" applyNumberFormat="1" applyBorder="1" applyAlignment="1">
      <alignment horizontal="center" vertical="center"/>
    </xf>
    <xf numFmtId="10" fontId="14" fillId="2" borderId="15" xfId="0" applyNumberFormat="1" applyFont="1" applyFill="1" applyBorder="1" applyAlignment="1">
      <alignment horizontal="center" vertical="center"/>
    </xf>
    <xf numFmtId="49" fontId="14" fillId="2" borderId="15" xfId="0" applyNumberFormat="1" applyFont="1" applyFill="1" applyBorder="1" applyAlignment="1">
      <alignment horizontal="center" vertical="center" wrapText="1"/>
    </xf>
    <xf numFmtId="0" fontId="14" fillId="2" borderId="15" xfId="0" applyFont="1" applyFill="1" applyBorder="1" applyAlignment="1">
      <alignment horizontal="center" vertical="center"/>
    </xf>
    <xf numFmtId="10" fontId="14" fillId="2" borderId="15" xfId="0" applyNumberFormat="1" applyFont="1" applyFill="1" applyBorder="1" applyAlignment="1">
      <alignment horizontal="center" vertical="center" wrapText="1"/>
    </xf>
    <xf numFmtId="165" fontId="14" fillId="2" borderId="15" xfId="0" applyNumberFormat="1" applyFont="1" applyFill="1" applyBorder="1" applyAlignment="1">
      <alignment horizontal="center" vertical="center"/>
    </xf>
    <xf numFmtId="4" fontId="0" fillId="0" borderId="23" xfId="0" applyNumberFormat="1" applyBorder="1" applyAlignment="1">
      <alignment horizontal="right" vertical="center"/>
    </xf>
    <xf numFmtId="0" fontId="3" fillId="0" borderId="28" xfId="0" applyFont="1" applyBorder="1" applyAlignment="1">
      <alignment vertical="center" wrapText="1"/>
    </xf>
    <xf numFmtId="0" fontId="0" fillId="0" borderId="15" xfId="0" applyBorder="1" applyAlignment="1">
      <alignment horizontal="center" vertical="center" wrapText="1"/>
    </xf>
    <xf numFmtId="0" fontId="0" fillId="0" borderId="5" xfId="0" applyBorder="1" applyAlignment="1">
      <alignment horizontal="center" vertical="center" wrapText="1"/>
    </xf>
    <xf numFmtId="15" fontId="0" fillId="0" borderId="15" xfId="0" applyNumberFormat="1" applyBorder="1" applyAlignment="1">
      <alignment horizontal="center" vertical="center" wrapText="1"/>
    </xf>
    <xf numFmtId="0" fontId="0" fillId="0" borderId="0" xfId="0" applyAlignment="1">
      <alignment horizontal="center" vertical="center"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3" fillId="0" borderId="15" xfId="0" applyFont="1" applyBorder="1" applyAlignment="1">
      <alignment horizontal="center" vertical="center"/>
    </xf>
    <xf numFmtId="0" fontId="3" fillId="0" borderId="5" xfId="0" applyFont="1" applyBorder="1" applyAlignment="1">
      <alignment horizontal="center" vertical="center"/>
    </xf>
    <xf numFmtId="0" fontId="3" fillId="0" borderId="15" xfId="0" applyFont="1" applyBorder="1" applyAlignment="1">
      <alignment horizontal="center" vertical="top" wrapText="1"/>
    </xf>
    <xf numFmtId="0" fontId="3" fillId="0" borderId="5" xfId="0" applyFont="1" applyBorder="1" applyAlignment="1">
      <alignment horizontal="center" vertical="top" wrapText="1"/>
    </xf>
    <xf numFmtId="0" fontId="0" fillId="0" borderId="15" xfId="0"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6" fillId="0" borderId="4" xfId="0" applyFont="1" applyBorder="1" applyAlignment="1">
      <alignment horizontal="left" vertical="center"/>
    </xf>
    <xf numFmtId="0" fontId="6" fillId="0" borderId="5" xfId="0" applyFont="1" applyBorder="1" applyAlignment="1">
      <alignment horizontal="left" vertical="center"/>
    </xf>
    <xf numFmtId="0" fontId="3" fillId="0" borderId="15"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0" xfId="0" applyFont="1" applyAlignment="1">
      <alignment horizontal="center" vertical="center"/>
    </xf>
    <xf numFmtId="0" fontId="3" fillId="0" borderId="6" xfId="0" applyFont="1" applyBorder="1" applyAlignment="1">
      <alignment horizontal="center" vertical="top" wrapText="1"/>
    </xf>
    <xf numFmtId="0" fontId="3" fillId="0" borderId="4" xfId="0" applyFont="1" applyBorder="1" applyAlignment="1">
      <alignment horizontal="left" vertical="top"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4" fillId="0" borderId="0" xfId="0" applyFont="1" applyAlignment="1">
      <alignment horizontal="center"/>
    </xf>
    <xf numFmtId="0" fontId="2" fillId="0" borderId="7"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9" xfId="0" applyFont="1" applyBorder="1" applyAlignment="1">
      <alignment vertical="center" wrapText="1"/>
    </xf>
    <xf numFmtId="0" fontId="3" fillId="0" borderId="16" xfId="0" applyFont="1" applyBorder="1" applyAlignment="1">
      <alignment vertical="center" wrapText="1"/>
    </xf>
    <xf numFmtId="0" fontId="5" fillId="0" borderId="1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16"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6" xfId="0" applyFont="1" applyBorder="1" applyAlignment="1">
      <alignment horizontal="center" vertical="center"/>
    </xf>
    <xf numFmtId="0" fontId="9" fillId="0" borderId="1" xfId="0" applyFont="1" applyBorder="1" applyAlignment="1">
      <alignment horizontal="center" vertical="center" wrapText="1"/>
    </xf>
    <xf numFmtId="0" fontId="9" fillId="0" borderId="21" xfId="0" applyFont="1" applyBorder="1" applyAlignment="1">
      <alignment horizontal="center" vertical="center"/>
    </xf>
    <xf numFmtId="1" fontId="0" fillId="0" borderId="15" xfId="0" applyNumberFormat="1" applyBorder="1" applyAlignment="1">
      <alignment horizontal="center" vertical="center" wrapText="1"/>
    </xf>
    <xf numFmtId="1" fontId="0" fillId="0" borderId="5" xfId="0" applyNumberFormat="1" applyBorder="1" applyAlignment="1">
      <alignment horizontal="center" vertical="center"/>
    </xf>
    <xf numFmtId="1" fontId="0" fillId="0" borderId="6" xfId="0" applyNumberFormat="1" applyBorder="1" applyAlignment="1">
      <alignment horizontal="center" vertical="center"/>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9" xfId="0" applyFont="1" applyBorder="1" applyAlignment="1">
      <alignment horizontal="left" vertical="center" wrapText="1"/>
    </xf>
    <xf numFmtId="0" fontId="3" fillId="0" borderId="16" xfId="0" applyFont="1" applyBorder="1" applyAlignment="1">
      <alignment horizontal="left" vertical="center" wrapText="1"/>
    </xf>
    <xf numFmtId="15" fontId="3" fillId="0" borderId="15" xfId="0" applyNumberFormat="1" applyFont="1" applyBorder="1" applyAlignment="1">
      <alignment horizontal="center" vertical="center" wrapText="1"/>
    </xf>
    <xf numFmtId="15" fontId="3" fillId="0" borderId="5" xfId="0" applyNumberFormat="1" applyFont="1" applyBorder="1" applyAlignment="1">
      <alignment horizontal="center" vertical="center" wrapText="1"/>
    </xf>
    <xf numFmtId="15" fontId="3" fillId="0" borderId="18" xfId="0" applyNumberFormat="1" applyFont="1" applyBorder="1" applyAlignment="1">
      <alignment horizontal="center" vertical="center" wrapText="1"/>
    </xf>
    <xf numFmtId="0" fontId="5" fillId="0" borderId="15" xfId="0" applyFont="1" applyBorder="1" applyAlignment="1">
      <alignment horizontal="center" vertical="center"/>
    </xf>
    <xf numFmtId="0" fontId="5" fillId="0" borderId="6" xfId="0" applyFont="1" applyBorder="1" applyAlignment="1">
      <alignment horizontal="center" vertical="center"/>
    </xf>
  </cellXfs>
  <cellStyles count="7">
    <cellStyle name="Comma" xfId="1" builtinId="3"/>
    <cellStyle name="Comma [0] 2" xfId="4" xr:uid="{00000000-0005-0000-0000-000002000000}"/>
    <cellStyle name="Comma 2" xfId="2" xr:uid="{00000000-0005-0000-0000-000003000000}"/>
    <cellStyle name="Comma 2 2" xfId="5" xr:uid="{00000000-0005-0000-0000-000004000000}"/>
    <cellStyle name="Comma 3" xfId="3" xr:uid="{00000000-0005-0000-0000-000005000000}"/>
    <cellStyle name="Comma 4" xfId="6" xr:uid="{00000000-0005-0000-0000-000006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400050</xdr:colOff>
      <xdr:row>36</xdr:row>
      <xdr:rowOff>28576</xdr:rowOff>
    </xdr:from>
    <xdr:to>
      <xdr:col>6</xdr:col>
      <xdr:colOff>323850</xdr:colOff>
      <xdr:row>37</xdr:row>
      <xdr:rowOff>314325</xdr:rowOff>
    </xdr:to>
    <xdr:sp macro="" textlink="">
      <xdr:nvSpPr>
        <xdr:cNvPr id="2" name="Rectangle 1">
          <a:extLst>
            <a:ext uri="{FF2B5EF4-FFF2-40B4-BE49-F238E27FC236}">
              <a16:creationId xmlns:a16="http://schemas.microsoft.com/office/drawing/2014/main" id="{2237E8B3-009A-48C8-B441-F68A8737CCE9}"/>
            </a:ext>
          </a:extLst>
        </xdr:cNvPr>
        <xdr:cNvSpPr/>
      </xdr:nvSpPr>
      <xdr:spPr>
        <a:xfrm>
          <a:off x="6038850" y="9991726"/>
          <a:ext cx="1685925" cy="52387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GB" sz="1600" b="1"/>
            <a:t>ORIGINAL</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1168F-C091-4665-A4C8-C891C57CD272}">
  <sheetPr>
    <pageSetUpPr fitToPage="1"/>
  </sheetPr>
  <dimension ref="A3:G39"/>
  <sheetViews>
    <sheetView showGridLines="0" tabSelected="1" topLeftCell="A34" zoomScaleNormal="100" workbookViewId="0">
      <selection activeCell="A33" sqref="A33:D33"/>
    </sheetView>
  </sheetViews>
  <sheetFormatPr defaultRowHeight="14.5" x14ac:dyDescent="0.35"/>
  <cols>
    <col min="1" max="1" width="29.1796875" bestFit="1" customWidth="1"/>
    <col min="2" max="2" width="22.1796875" bestFit="1" customWidth="1"/>
    <col min="3" max="3" width="19.08984375" customWidth="1"/>
    <col min="4" max="4" width="14.81640625" bestFit="1" customWidth="1"/>
    <col min="5" max="5" width="13.81640625" bestFit="1" customWidth="1"/>
    <col min="6" max="6" width="12.54296875" customWidth="1"/>
    <col min="7" max="7" width="13.1796875" customWidth="1"/>
  </cols>
  <sheetData>
    <row r="3" spans="1:7" ht="61.5" x14ac:dyDescent="1.35">
      <c r="A3" s="62" t="s">
        <v>10</v>
      </c>
      <c r="B3" s="62"/>
      <c r="C3" s="62"/>
      <c r="D3" s="62"/>
      <c r="E3" s="62"/>
      <c r="F3" s="62"/>
      <c r="G3" s="62"/>
    </row>
    <row r="4" spans="1:7" ht="11.25" customHeight="1" thickBot="1" x14ac:dyDescent="0.4">
      <c r="A4" s="63"/>
      <c r="B4" s="63"/>
      <c r="C4" s="63"/>
      <c r="D4" s="63"/>
      <c r="E4" s="63"/>
      <c r="F4" s="63"/>
      <c r="G4" s="63"/>
    </row>
    <row r="5" spans="1:7" ht="28.5" x14ac:dyDescent="0.35">
      <c r="A5" s="64" t="s">
        <v>1</v>
      </c>
      <c r="B5" s="65"/>
      <c r="C5" s="66"/>
      <c r="D5" s="66"/>
      <c r="E5" s="66"/>
      <c r="F5" s="66"/>
      <c r="G5" s="67"/>
    </row>
    <row r="6" spans="1:7" ht="37.5" customHeight="1" x14ac:dyDescent="0.35">
      <c r="A6" s="68" t="s">
        <v>36</v>
      </c>
      <c r="B6" s="69"/>
      <c r="C6" s="72" t="s">
        <v>9</v>
      </c>
      <c r="D6" s="73"/>
      <c r="E6" s="79" t="s">
        <v>70</v>
      </c>
      <c r="F6" s="60"/>
      <c r="G6" s="80"/>
    </row>
    <row r="7" spans="1:7" ht="25.25" customHeight="1" x14ac:dyDescent="0.35">
      <c r="A7" s="70"/>
      <c r="B7" s="71"/>
      <c r="C7" s="74" t="s">
        <v>33</v>
      </c>
      <c r="D7" s="75"/>
      <c r="E7" s="76" t="s">
        <v>71</v>
      </c>
      <c r="F7" s="77"/>
      <c r="G7" s="78"/>
    </row>
    <row r="8" spans="1:7" ht="24" customHeight="1" x14ac:dyDescent="0.35">
      <c r="A8" s="87" t="s">
        <v>37</v>
      </c>
      <c r="B8" s="88"/>
      <c r="C8" s="72" t="s">
        <v>34</v>
      </c>
      <c r="D8" s="73"/>
      <c r="E8" s="93">
        <v>46095</v>
      </c>
      <c r="F8" s="94"/>
      <c r="G8" s="95"/>
    </row>
    <row r="9" spans="1:7" ht="21.75" customHeight="1" x14ac:dyDescent="0.35">
      <c r="A9" s="89"/>
      <c r="B9" s="90"/>
      <c r="C9" s="96" t="s">
        <v>15</v>
      </c>
      <c r="D9" s="97"/>
      <c r="E9" s="60" t="s">
        <v>49</v>
      </c>
      <c r="F9" s="60"/>
      <c r="G9" s="80"/>
    </row>
    <row r="10" spans="1:7" ht="22.5" customHeight="1" x14ac:dyDescent="0.35">
      <c r="A10" s="91"/>
      <c r="B10" s="92"/>
      <c r="C10" s="72" t="s">
        <v>22</v>
      </c>
      <c r="D10" s="73"/>
      <c r="E10" s="79">
        <v>9486013</v>
      </c>
      <c r="F10" s="60"/>
      <c r="G10" s="80"/>
    </row>
    <row r="11" spans="1:7" ht="29.25" customHeight="1" x14ac:dyDescent="0.35">
      <c r="A11" s="4" t="s">
        <v>16</v>
      </c>
      <c r="B11" s="44" t="s">
        <v>59</v>
      </c>
      <c r="C11" s="45"/>
      <c r="D11" s="81"/>
      <c r="E11" s="82" t="s">
        <v>30</v>
      </c>
      <c r="F11" s="5" t="s">
        <v>60</v>
      </c>
      <c r="G11" s="6" t="s">
        <v>3</v>
      </c>
    </row>
    <row r="12" spans="1:7" ht="34.25" customHeight="1" x14ac:dyDescent="0.35">
      <c r="A12" s="7" t="s">
        <v>31</v>
      </c>
      <c r="B12" s="84">
        <v>918152600306</v>
      </c>
      <c r="C12" s="85"/>
      <c r="D12" s="86"/>
      <c r="E12" s="83"/>
      <c r="F12" s="8" t="s">
        <v>0</v>
      </c>
      <c r="G12" s="9" t="s">
        <v>0</v>
      </c>
    </row>
    <row r="13" spans="1:7" ht="22.25" customHeight="1" x14ac:dyDescent="0.35">
      <c r="A13" s="7" t="s">
        <v>50</v>
      </c>
      <c r="B13" s="39">
        <v>46085</v>
      </c>
      <c r="C13" s="38"/>
      <c r="D13" s="38"/>
      <c r="E13" s="8"/>
      <c r="F13" s="8"/>
      <c r="G13" s="25"/>
    </row>
    <row r="14" spans="1:7" ht="22.5" customHeight="1" x14ac:dyDescent="0.35">
      <c r="A14" s="7" t="s">
        <v>18</v>
      </c>
      <c r="B14" s="37" t="s">
        <v>38</v>
      </c>
      <c r="C14" s="38"/>
      <c r="D14" s="38"/>
      <c r="E14" s="2">
        <v>56750</v>
      </c>
      <c r="F14" s="28">
        <v>38.36</v>
      </c>
      <c r="G14" s="29">
        <f>E14*F14</f>
        <v>2176930</v>
      </c>
    </row>
    <row r="15" spans="1:7" ht="21.75" customHeight="1" x14ac:dyDescent="0.35">
      <c r="A15" s="10" t="s">
        <v>32</v>
      </c>
      <c r="B15" s="44" t="s">
        <v>2</v>
      </c>
      <c r="C15" s="45"/>
      <c r="D15" s="45"/>
      <c r="E15" s="2"/>
      <c r="F15" s="11" t="s">
        <v>35</v>
      </c>
      <c r="G15" s="12"/>
    </row>
    <row r="16" spans="1:7" ht="28.5" customHeight="1" x14ac:dyDescent="0.35">
      <c r="A16" s="4" t="s">
        <v>8</v>
      </c>
      <c r="B16" s="46" t="s">
        <v>48</v>
      </c>
      <c r="C16" s="47"/>
      <c r="D16" s="47"/>
      <c r="E16" s="2"/>
      <c r="F16" s="11"/>
      <c r="G16" s="12"/>
    </row>
    <row r="17" spans="1:7" ht="28.5" customHeight="1" x14ac:dyDescent="0.35">
      <c r="A17" s="4" t="s">
        <v>51</v>
      </c>
      <c r="B17" s="46" t="s">
        <v>39</v>
      </c>
      <c r="C17" s="47"/>
      <c r="D17" s="57"/>
      <c r="E17" s="2"/>
      <c r="F17" s="11"/>
      <c r="G17" s="12"/>
    </row>
    <row r="18" spans="1:7" ht="77.5" customHeight="1" x14ac:dyDescent="0.35">
      <c r="A18" s="13" t="s">
        <v>56</v>
      </c>
      <c r="B18" s="48" t="s">
        <v>53</v>
      </c>
      <c r="C18" s="49"/>
      <c r="D18" s="50"/>
      <c r="E18" s="2"/>
      <c r="F18" s="11"/>
      <c r="G18" s="12"/>
    </row>
    <row r="19" spans="1:7" ht="17.25" customHeight="1" x14ac:dyDescent="0.35">
      <c r="A19" s="51" t="s">
        <v>23</v>
      </c>
      <c r="B19" s="52"/>
      <c r="C19" s="52"/>
      <c r="D19" s="52"/>
      <c r="E19" s="2"/>
      <c r="F19" s="11"/>
      <c r="G19" s="12"/>
    </row>
    <row r="20" spans="1:7" ht="16.5" customHeight="1" x14ac:dyDescent="0.35">
      <c r="A20" s="26" t="s">
        <v>20</v>
      </c>
      <c r="B20" s="14" t="s">
        <v>6</v>
      </c>
      <c r="C20" s="15" t="s">
        <v>12</v>
      </c>
      <c r="D20" s="16" t="s">
        <v>7</v>
      </c>
      <c r="E20" s="2"/>
      <c r="F20" s="11"/>
      <c r="G20" s="12"/>
    </row>
    <row r="21" spans="1:7" ht="17.25" customHeight="1" x14ac:dyDescent="0.35">
      <c r="A21" s="17" t="s">
        <v>13</v>
      </c>
      <c r="B21" s="3" t="s">
        <v>41</v>
      </c>
      <c r="C21" s="18" t="s">
        <v>21</v>
      </c>
      <c r="D21" s="30" t="s">
        <v>61</v>
      </c>
      <c r="E21" s="2"/>
      <c r="F21" s="11"/>
      <c r="G21" s="12"/>
    </row>
    <row r="22" spans="1:7" ht="17.25" customHeight="1" x14ac:dyDescent="0.35">
      <c r="A22" s="17" t="s">
        <v>24</v>
      </c>
      <c r="B22" s="19" t="s">
        <v>57</v>
      </c>
      <c r="C22" s="18" t="s">
        <v>45</v>
      </c>
      <c r="D22" s="30" t="s">
        <v>62</v>
      </c>
      <c r="E22" s="2"/>
      <c r="F22" s="11"/>
      <c r="G22" s="12"/>
    </row>
    <row r="23" spans="1:7" ht="16.5" customHeight="1" x14ac:dyDescent="0.35">
      <c r="A23" s="17" t="s">
        <v>14</v>
      </c>
      <c r="B23" s="3" t="s">
        <v>42</v>
      </c>
      <c r="C23" s="18" t="s">
        <v>21</v>
      </c>
      <c r="D23" s="30" t="s">
        <v>63</v>
      </c>
      <c r="E23" s="2"/>
      <c r="F23" s="11"/>
      <c r="G23" s="12"/>
    </row>
    <row r="24" spans="1:7" ht="17.25" customHeight="1" x14ac:dyDescent="0.35">
      <c r="A24" s="17" t="s">
        <v>4</v>
      </c>
      <c r="B24" s="3" t="s">
        <v>43</v>
      </c>
      <c r="C24" s="18" t="s">
        <v>21</v>
      </c>
      <c r="D24" s="30" t="s">
        <v>64</v>
      </c>
      <c r="E24" s="2"/>
      <c r="F24" s="11"/>
      <c r="G24" s="12"/>
    </row>
    <row r="25" spans="1:7" ht="17.5" customHeight="1" x14ac:dyDescent="0.35">
      <c r="A25" s="20" t="s">
        <v>25</v>
      </c>
      <c r="B25" s="21" t="s">
        <v>58</v>
      </c>
      <c r="C25" s="18" t="s">
        <v>46</v>
      </c>
      <c r="D25" s="31" t="s">
        <v>65</v>
      </c>
      <c r="E25" s="2"/>
      <c r="F25" s="11"/>
      <c r="G25" s="12"/>
    </row>
    <row r="26" spans="1:7" s="1" customFormat="1" ht="21.65" customHeight="1" x14ac:dyDescent="0.35">
      <c r="A26" s="22" t="s">
        <v>26</v>
      </c>
      <c r="B26" s="3" t="s">
        <v>44</v>
      </c>
      <c r="C26" s="18" t="s">
        <v>47</v>
      </c>
      <c r="D26" s="32" t="s">
        <v>66</v>
      </c>
      <c r="E26" s="2"/>
      <c r="F26" s="11"/>
      <c r="G26" s="12"/>
    </row>
    <row r="27" spans="1:7" ht="28.25" customHeight="1" x14ac:dyDescent="0.35">
      <c r="A27" s="17" t="s">
        <v>5</v>
      </c>
      <c r="B27" s="23" t="s">
        <v>11</v>
      </c>
      <c r="C27" s="18" t="s">
        <v>21</v>
      </c>
      <c r="D27" s="33" t="s">
        <v>67</v>
      </c>
      <c r="E27" s="2"/>
      <c r="F27" s="11"/>
      <c r="G27" s="12"/>
    </row>
    <row r="28" spans="1:7" ht="17.25" customHeight="1" x14ac:dyDescent="0.35">
      <c r="A28" s="22" t="s">
        <v>27</v>
      </c>
      <c r="B28" s="3" t="s">
        <v>28</v>
      </c>
      <c r="C28" s="18" t="s">
        <v>21</v>
      </c>
      <c r="D28" s="32">
        <v>40</v>
      </c>
      <c r="E28" s="2"/>
      <c r="F28" s="11"/>
      <c r="G28" s="12"/>
    </row>
    <row r="29" spans="1:7" ht="18" customHeight="1" x14ac:dyDescent="0.35">
      <c r="A29" s="17" t="s">
        <v>40</v>
      </c>
      <c r="B29" s="3" t="s">
        <v>29</v>
      </c>
      <c r="C29" s="18" t="s">
        <v>21</v>
      </c>
      <c r="D29" s="34" t="s">
        <v>68</v>
      </c>
      <c r="E29" s="2"/>
      <c r="F29" s="11"/>
      <c r="G29" s="12"/>
    </row>
    <row r="30" spans="1:7" ht="107" customHeight="1" x14ac:dyDescent="0.35">
      <c r="A30" s="58" t="s">
        <v>52</v>
      </c>
      <c r="B30" s="54"/>
      <c r="C30" s="54"/>
      <c r="D30" s="55"/>
      <c r="E30" s="2"/>
      <c r="F30" s="11"/>
      <c r="G30" s="12"/>
    </row>
    <row r="31" spans="1:7" ht="50.5" customHeight="1" x14ac:dyDescent="0.35">
      <c r="A31" s="58" t="s">
        <v>54</v>
      </c>
      <c r="B31" s="54"/>
      <c r="C31" s="54"/>
      <c r="D31" s="55"/>
      <c r="E31" s="2"/>
      <c r="F31" s="11"/>
      <c r="G31" s="12"/>
    </row>
    <row r="32" spans="1:7" ht="28" customHeight="1" x14ac:dyDescent="0.35">
      <c r="A32" s="59" t="s">
        <v>55</v>
      </c>
      <c r="B32" s="60"/>
      <c r="C32" s="60"/>
      <c r="D32" s="61"/>
      <c r="E32" s="2"/>
      <c r="F32" s="11"/>
      <c r="G32" s="12"/>
    </row>
    <row r="33" spans="1:7" ht="46.25" customHeight="1" x14ac:dyDescent="0.35">
      <c r="A33" s="41" t="s">
        <v>72</v>
      </c>
      <c r="B33" s="42"/>
      <c r="C33" s="42"/>
      <c r="D33" s="43"/>
      <c r="E33" s="27"/>
      <c r="F33" s="27"/>
      <c r="G33" s="35">
        <f>SUM(G13:G29)</f>
        <v>2176930</v>
      </c>
    </row>
    <row r="34" spans="1:7" ht="200.5" customHeight="1" x14ac:dyDescent="0.35">
      <c r="A34" s="41" t="s">
        <v>69</v>
      </c>
      <c r="B34" s="42"/>
      <c r="C34" s="43"/>
      <c r="D34" s="53"/>
      <c r="E34" s="54"/>
      <c r="F34" s="54"/>
      <c r="G34" s="55"/>
    </row>
    <row r="35" spans="1:7" ht="101.5" x14ac:dyDescent="0.35">
      <c r="A35" s="24" t="s">
        <v>19</v>
      </c>
      <c r="B35" s="36"/>
      <c r="C35" s="36"/>
      <c r="D35" s="36"/>
      <c r="E35" s="36"/>
      <c r="F35" s="56"/>
      <c r="G35" s="56"/>
    </row>
    <row r="36" spans="1:7" ht="6" customHeight="1" x14ac:dyDescent="0.35">
      <c r="A36" s="24"/>
      <c r="B36" s="24"/>
      <c r="C36" s="24"/>
      <c r="D36" s="24"/>
      <c r="E36" s="24"/>
      <c r="F36" s="56"/>
      <c r="G36" s="56"/>
    </row>
    <row r="37" spans="1:7" ht="18.75" customHeight="1" x14ac:dyDescent="0.35">
      <c r="A37" s="24"/>
      <c r="B37" s="24"/>
      <c r="C37" s="24"/>
      <c r="D37" s="24"/>
      <c r="E37" s="24"/>
      <c r="F37" s="56"/>
      <c r="G37" s="56"/>
    </row>
    <row r="38" spans="1:7" ht="54" customHeight="1" x14ac:dyDescent="0.35">
      <c r="A38" s="24"/>
      <c r="B38" s="24"/>
      <c r="C38" s="24"/>
      <c r="D38" s="24"/>
      <c r="E38" s="24"/>
      <c r="F38" s="56"/>
      <c r="G38" s="56"/>
    </row>
    <row r="39" spans="1:7" ht="93.75" customHeight="1" x14ac:dyDescent="0.35">
      <c r="A39" s="40" t="s">
        <v>17</v>
      </c>
      <c r="B39" s="40"/>
      <c r="C39" s="40"/>
      <c r="D39" s="40"/>
      <c r="E39" s="40"/>
      <c r="F39" s="40"/>
      <c r="G39" s="40"/>
    </row>
  </sheetData>
  <mergeCells count="33">
    <mergeCell ref="E9:G9"/>
    <mergeCell ref="C10:D10"/>
    <mergeCell ref="E10:G10"/>
    <mergeCell ref="B11:D11"/>
    <mergeCell ref="E11:E12"/>
    <mergeCell ref="B12:D12"/>
    <mergeCell ref="A8:B10"/>
    <mergeCell ref="C8:D8"/>
    <mergeCell ref="E8:G8"/>
    <mergeCell ref="C9:D9"/>
    <mergeCell ref="A3:G3"/>
    <mergeCell ref="A4:G4"/>
    <mergeCell ref="A5:G5"/>
    <mergeCell ref="A6:B7"/>
    <mergeCell ref="C6:D6"/>
    <mergeCell ref="C7:D7"/>
    <mergeCell ref="E7:G7"/>
    <mergeCell ref="E6:G6"/>
    <mergeCell ref="B14:D14"/>
    <mergeCell ref="B13:D13"/>
    <mergeCell ref="A39:G39"/>
    <mergeCell ref="A34:C34"/>
    <mergeCell ref="B15:D15"/>
    <mergeCell ref="B16:D16"/>
    <mergeCell ref="B18:D18"/>
    <mergeCell ref="A19:D19"/>
    <mergeCell ref="D34:G34"/>
    <mergeCell ref="F35:G38"/>
    <mergeCell ref="A33:D33"/>
    <mergeCell ref="B17:D17"/>
    <mergeCell ref="A30:D30"/>
    <mergeCell ref="A31:D31"/>
    <mergeCell ref="A32:D32"/>
  </mergeCells>
  <printOptions horizontalCentered="1"/>
  <pageMargins left="0.86614173228346458" right="0.82677165354330717" top="0.35433070866141736" bottom="0.55118110236220474" header="0.31496062992125984" footer="0.47244094488188981"/>
  <pageSetup scale="51"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288327666EA2343B8EA7AA12A1E79C4" ma:contentTypeVersion="10" ma:contentTypeDescription="Create a new document." ma:contentTypeScope="" ma:versionID="2161b2f1bdb2f7e61f87f547bc7a1ac3">
  <xsd:schema xmlns:xsd="http://www.w3.org/2001/XMLSchema" xmlns:xs="http://www.w3.org/2001/XMLSchema" xmlns:p="http://schemas.microsoft.com/office/2006/metadata/properties" xmlns:ns2="7dfeb013-9e48-4b72-9d62-f6092613a381" xmlns:ns3="db49d638-7d6a-4e1e-bb61-2528d34bcc03" targetNamespace="http://schemas.microsoft.com/office/2006/metadata/properties" ma:root="true" ma:fieldsID="cb7a33eb1ed7634004d953effc4d247b" ns2:_="" ns3:_="">
    <xsd:import namespace="7dfeb013-9e48-4b72-9d62-f6092613a381"/>
    <xsd:import namespace="db49d638-7d6a-4e1e-bb61-2528d34bcc0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feb013-9e48-4b72-9d62-f6092613a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224867-153a-4516-b4fa-7a5a9ad38f4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49d638-7d6a-4e1e-bb61-2528d34bcc0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64b692a-c4e7-4fee-9a04-96e2682efa5e}" ma:internalName="TaxCatchAll" ma:showField="CatchAllData" ma:web="db49d638-7d6a-4e1e-bb61-2528d34bcc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dfeb013-9e48-4b72-9d62-f6092613a381">
      <Terms xmlns="http://schemas.microsoft.com/office/infopath/2007/PartnerControls"/>
    </lcf76f155ced4ddcb4097134ff3c332f>
    <TaxCatchAll xmlns="db49d638-7d6a-4e1e-bb61-2528d34bcc03" xsi:nil="true"/>
  </documentManagement>
</p:properties>
</file>

<file path=customXml/itemProps1.xml><?xml version="1.0" encoding="utf-8"?>
<ds:datastoreItem xmlns:ds="http://schemas.openxmlformats.org/officeDocument/2006/customXml" ds:itemID="{69452089-179B-4683-B4B2-ACBBA768CEF1}">
  <ds:schemaRefs>
    <ds:schemaRef ds:uri="http://schemas.microsoft.com/sharepoint/v3/contenttype/forms"/>
  </ds:schemaRefs>
</ds:datastoreItem>
</file>

<file path=customXml/itemProps2.xml><?xml version="1.0" encoding="utf-8"?>
<ds:datastoreItem xmlns:ds="http://schemas.openxmlformats.org/officeDocument/2006/customXml" ds:itemID="{07A935E5-1238-44F8-BC30-CE00D26EF5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feb013-9e48-4b72-9d62-f6092613a381"/>
    <ds:schemaRef ds:uri="db49d638-7d6a-4e1e-bb61-2528d34bcc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2415363-3BDD-496E-A56A-BF4E87C96320}">
  <ds:schemaRefs>
    <ds:schemaRef ds:uri="http://purl.org/dc/terms/"/>
    <ds:schemaRef ds:uri="http://schemas.microsoft.com/office/infopath/2007/PartnerControls"/>
    <ds:schemaRef ds:uri="http://schemas.microsoft.com/office/2006/metadata/properties"/>
    <ds:schemaRef ds:uri="http://purl.org/dc/elements/1.1/"/>
    <ds:schemaRef ds:uri="http://purl.org/dc/dcmitype/"/>
    <ds:schemaRef ds:uri="http://schemas.microsoft.com/office/2006/documentManagement/types"/>
    <ds:schemaRef ds:uri="http://schemas.openxmlformats.org/package/2006/metadata/core-properties"/>
    <ds:schemaRef ds:uri="http://www.w3.org/XML/1998/namespace"/>
    <ds:schemaRef ds:uri="88944428-bc61-4d7a-b359-20bc80af6dfb"/>
    <ds:schemaRef ds:uri="cd7d3bb7-f2a3-4262-a3f1-c380a2a99d20"/>
    <ds:schemaRef ds:uri="7dfeb013-9e48-4b72-9d62-f6092613a381"/>
    <ds:schemaRef ds:uri="db49d638-7d6a-4e1e-bb61-2528d34bcc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CI</vt:lpstr>
      <vt:lpstr>CI!Print_Area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Veerendra Kedarnath Chandalada</dc:creator>
  <cp:lastModifiedBy>Priya</cp:lastModifiedBy>
  <cp:lastPrinted>2026-04-01T04:02:49Z</cp:lastPrinted>
  <dcterms:created xsi:type="dcterms:W3CDTF">2017-09-06T23:32:08Z</dcterms:created>
  <dcterms:modified xsi:type="dcterms:W3CDTF">2026-04-01T04:04:21Z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0x0101003288327666EA2343B8EA7AA12A1E79C4</vt:lpwstr>
  </property>
  <property fmtid="{D5CDD505-2E9C-101B-9397-08002B2CF9AE}" pid="3" name="MediaServiceImageTags">
    <vt:lpwstr/>
  </property>
</Properties>
</file>