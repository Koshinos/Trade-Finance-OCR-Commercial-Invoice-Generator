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iiresourcespteltd.sharepoint.com/sites/trading-finance/Shared Documents/COMMON/COMMON/SRPL/1. EXPORT LC/TRIDENT/2026/1. MV CRIMSON GLORY/EXPORT-TRIDENT/"/>
    </mc:Choice>
  </mc:AlternateContent>
  <xr:revisionPtr revIDLastSave="128" documentId="8_{83D17064-14D7-4321-932A-CBDCBB90E9BD}" xr6:coauthVersionLast="47" xr6:coauthVersionMax="47" xr10:uidLastSave="{0CF6749C-9DF3-4E4A-AA21-775E29ABB3B3}"/>
  <bookViews>
    <workbookView xWindow="-110" yWindow="-110" windowWidth="19420" windowHeight="11500" xr2:uid="{00000000-000D-0000-FFFF-FFFF00000000}"/>
  </bookViews>
  <sheets>
    <sheet name="CI" sheetId="15" r:id="rId1"/>
  </sheets>
  <definedNames>
    <definedName name="_xlnm.Print_Area" localSheetId="0">CI!$A$1:$G$36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5" l="1"/>
  <c r="G31" i="15" s="1"/>
</calcChain>
</file>

<file path=xl/sharedStrings.xml><?xml version="1.0" encoding="utf-8"?>
<sst xmlns="http://schemas.openxmlformats.org/spreadsheetml/2006/main" count="77" uniqueCount="71">
  <si>
    <t>USD</t>
  </si>
  <si>
    <t>COMMERCIAL INVOICE</t>
  </si>
  <si>
    <t xml:space="preserve">INDONESIA </t>
  </si>
  <si>
    <t xml:space="preserve"> Total
 Amount</t>
  </si>
  <si>
    <t>TYPICAL</t>
  </si>
  <si>
    <t xml:space="preserve">ACTUAL RESULTS </t>
  </si>
  <si>
    <t xml:space="preserve"> PORT OF LOADING</t>
  </si>
  <si>
    <t xml:space="preserve"> PORT OF DISCHARGE</t>
  </si>
  <si>
    <t>COMMERCIAL INVOICE NO &amp; DATE</t>
  </si>
  <si>
    <t xml:space="preserve"> DESCRIPTION OF GOODS</t>
  </si>
  <si>
    <t>SAII RESOURCES PTE LTD</t>
  </si>
  <si>
    <t xml:space="preserve">BY DIFFERENCE </t>
  </si>
  <si>
    <t>REJECTION</t>
  </si>
  <si>
    <t>The Total Quantity
 of Coal Shipped
(In MT)</t>
  </si>
  <si>
    <t>VESSEL NAME</t>
  </si>
  <si>
    <t xml:space="preserve"> CONTRACT NUMBER </t>
  </si>
  <si>
    <t xml:space="preserve">Make all payments to :
SAII RESOURCES PTE. LTD.
Account Number : 88205029613 (USD)
Bank Name: ICICI Bank Ltd Singapore, ICICI SWIFT Bank Identifier Code (BIC): ICICISGSGXXX
ICICI Branch address:
9 Raffles Place , #50-01 Republic Plaza , Singapore 048619
</t>
  </si>
  <si>
    <r>
      <t xml:space="preserve"> For </t>
    </r>
    <r>
      <rPr>
        <b/>
        <sz val="11"/>
        <rFont val="Calibri"/>
        <family val="2"/>
        <scheme val="minor"/>
      </rPr>
      <t>SAII RESOURCES PTE LTD</t>
    </r>
    <r>
      <rPr>
        <sz val="11"/>
        <rFont val="Calibri"/>
        <family val="2"/>
        <scheme val="minor"/>
      </rPr>
      <t xml:space="preserve">
 Authorised Signatory</t>
    </r>
  </si>
  <si>
    <t>NO REJECTION</t>
  </si>
  <si>
    <t>15 PCT APPROX</t>
  </si>
  <si>
    <t>VESSEL IMO NUMBER</t>
  </si>
  <si>
    <t>Adjusted CFR Price (Per MT)</t>
  </si>
  <si>
    <t>3400 KCAL / KG</t>
  </si>
  <si>
    <t>BELOW 3200 KCAL / KG</t>
  </si>
  <si>
    <t xml:space="preserve">90 PCT </t>
  </si>
  <si>
    <t xml:space="preserve">BILL OF LADING NUMBER </t>
  </si>
  <si>
    <t xml:space="preserve">BILL OF LADING DATE </t>
  </si>
  <si>
    <t>TRIDENT CHEMPHAR LIMITED
SY NO 66 AND 67, MIYAPUR
SERILINGAMPALLY MANDAL
HYDERABAD 500 050, INDIA</t>
  </si>
  <si>
    <t>MV CRIMSON GLORY</t>
  </si>
  <si>
    <t xml:space="preserve">SRPL26S014
</t>
  </si>
  <si>
    <t>IMLCU0070260343</t>
  </si>
  <si>
    <t>NUMBER OF LETTER OF CREDIT</t>
  </si>
  <si>
    <t>DATE OF LETTER OF CREDIT</t>
  </si>
  <si>
    <t>COUNTRY OF ORIGIN OF GOODS</t>
  </si>
  <si>
    <t>NAME OF ISSUING BANK</t>
  </si>
  <si>
    <t>RBL BANK LTD</t>
  </si>
  <si>
    <t xml:space="preserve">VISAKHAPATNAM PORT, INDIA
</t>
  </si>
  <si>
    <t xml:space="preserve"> SPECIFICATIONS AS BELOW</t>
  </si>
  <si>
    <t xml:space="preserve">   TEST PARAMETERS</t>
  </si>
  <si>
    <t xml:space="preserve"> GROSS CALORIFIC VALUE (ARB)</t>
  </si>
  <si>
    <t xml:space="preserve"> TOTAL MOISTURE (ARB)</t>
  </si>
  <si>
    <t xml:space="preserve">  INHERENT MOISTURE (ADB)</t>
  </si>
  <si>
    <t xml:space="preserve"> VOLATILE MATTER (ADB)</t>
  </si>
  <si>
    <t xml:space="preserve"> FIXED CARBON (ADB)</t>
  </si>
  <si>
    <t xml:space="preserve"> ASH CONTENT (ADB)</t>
  </si>
  <si>
    <t>TOTAL SULPHUR (ADB)</t>
  </si>
  <si>
    <t>0.3 PCT APPROX</t>
  </si>
  <si>
    <t>ABOVE 0.5 PCT</t>
  </si>
  <si>
    <t>HARD GROVE INDEX (HGI)</t>
  </si>
  <si>
    <t>42 APPROX</t>
  </si>
  <si>
    <t xml:space="preserve"> SIZE ( 0-200 MM) CRUSHED</t>
  </si>
  <si>
    <t>45 PCT APPROX</t>
  </si>
  <si>
    <t>8 PCT APPROX</t>
  </si>
  <si>
    <t>42 PCT APPROX</t>
  </si>
  <si>
    <t>84201MBIND26 upto 84211MBIND26</t>
  </si>
  <si>
    <t>ABOVE 10 PCT</t>
  </si>
  <si>
    <t xml:space="preserve"> COMMODITY: STEAM (NON- COKING) COAL IN BULK OF INDONESIAN ORIGIN 
QUANTITY:  53,000 MT (+/- 10 PCT)
BASE PRICE: USD 56.08 PER MT  (FOB MV PRICE USD 41.08 PMT AND FREIGHT USD 15.00 PMT) BASIS GCV (ARB) 3400 KCAL/KG
CFR VISAKHAPATNAM PORT, INDIA, INCOTERMS 2020.</t>
  </si>
  <si>
    <t>FOR 100 PERCENT OF CFR VALUE OF GOODS. INVOICE AMOUNT IS DULY ADJUSTED FOR QUALITY BASED ON SAMPLING AND ANALYSIS ISSUED AT LOAD PORT.</t>
  </si>
  <si>
    <t>SAII RESOURCES PTE LTD
40A ORCHARD ROAD, 03-01, MACDONALD HOUSE SINGAPORE 238838</t>
  </si>
  <si>
    <t xml:space="preserve">PEUNAGA ANCHORAGE, ACEH PROVINCE REPUBLIC OF INDONESIA
</t>
  </si>
  <si>
    <t>44.84 PCT</t>
  </si>
  <si>
    <t>16.24 PCT</t>
  </si>
  <si>
    <t>6.47 PCT</t>
  </si>
  <si>
    <t>41.75 PCT</t>
  </si>
  <si>
    <t>35.54 BY DIFFERENCE</t>
  </si>
  <si>
    <t>0.16 PCT</t>
  </si>
  <si>
    <t>3324 KCAL/KG</t>
  </si>
  <si>
    <t>97.81 PCT</t>
  </si>
  <si>
    <r>
      <t xml:space="preserve">PRICE ADJUSTMENT
PRICE ADJUSTMENT GROSS CALORIFIC VALUE (ARB) IS AS BELOW: 
IF THE ACTUAL GROSS CALORIFIC VALUE (ARB) AS PER CERTIFICATE OF SAMPLING AND ANALYSIS ISSUED BY THE INDEPENDENT SURVEYOR AT LOAD PORT IS BELOW   3400 KCAL/KG (ARB) BUT WITHIN REJECTION LIMIT,  THEN THE BASE PRICE WILL BE ADJUSTED AS PER FOLLOWING FORMULA:
</t>
    </r>
    <r>
      <rPr>
        <sz val="11"/>
        <color theme="1"/>
        <rFont val="Calibri"/>
        <family val="2"/>
        <scheme val="minor"/>
      </rPr>
      <t xml:space="preserve">ADJUSTED CFR PRICE PMT EQUAL TO (USD 41.08 PMT MULTIPLY BY </t>
    </r>
    <r>
      <rPr>
        <sz val="11"/>
        <rFont val="Calibri"/>
        <family val="2"/>
        <scheme val="minor"/>
      </rPr>
      <t xml:space="preserve"> (ACTUAL GCV (ARB) AT LOAD PORT DIVIDED BY 3400 KCAL/KG) PLUS  USD 15 PMT (FREIGHT)
IF ACTUAL GROSS CALORIFIC VALUE (ARB) IS LESS THAN 3200 KCAL/KG THEN PRESENTATION WILL BE REJECTED.
IF ACTUAL GROSS CALORIFIC VALUE(ARB) IS ABOVE 3400 KCAL/KG THEN NO PRICE ADJUSTMENT ON GROSS CALORIFIC VALUE (ARB) SHALL APPLY AND NO BONUS APPLICABLE FOR GROSS CALORIFIC VALUE (ARB) IS ABOVE 3400 KCAL/KG.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 
AD</t>
    </r>
    <r>
      <rPr>
        <sz val="11"/>
        <color theme="1"/>
        <rFont val="Calibri"/>
        <family val="2"/>
        <scheme val="minor"/>
      </rPr>
      <t xml:space="preserve">JUSTED CFR PRICE PMT = USD 41.08 X </t>
    </r>
    <r>
      <rPr>
        <sz val="11"/>
        <rFont val="Calibri"/>
        <family val="2"/>
        <scheme val="minor"/>
      </rPr>
      <t>(3324</t>
    </r>
    <r>
      <rPr>
        <sz val="11"/>
        <color theme="1"/>
        <rFont val="Calibri"/>
        <family val="2"/>
        <scheme val="minor"/>
      </rPr>
      <t xml:space="preserve">/3400) + USD 15 PMT (FREIGHT)                                                                                                                                                                                                       
                                = USD </t>
    </r>
    <r>
      <rPr>
        <sz val="11"/>
        <rFont val="Calibri"/>
        <family val="2"/>
        <scheme val="minor"/>
      </rPr>
      <t xml:space="preserve">40.16 </t>
    </r>
    <r>
      <rPr>
        <sz val="11"/>
        <color theme="1"/>
        <rFont val="Calibri"/>
        <family val="2"/>
        <scheme val="minor"/>
      </rPr>
      <t xml:space="preserve">+ USD 15.00 
                                = USD </t>
    </r>
    <r>
      <rPr>
        <sz val="11"/>
        <rFont val="Calibri"/>
        <family val="2"/>
        <scheme val="minor"/>
      </rPr>
      <t xml:space="preserve">55.16 </t>
    </r>
    <r>
      <rPr>
        <sz val="11"/>
        <color theme="1"/>
        <rFont val="Calibri"/>
        <family val="2"/>
        <scheme val="minor"/>
      </rPr>
      <t xml:space="preserve">PER MT </t>
    </r>
  </si>
  <si>
    <r>
      <rPr>
        <sz val="11"/>
        <rFont val="Calibri"/>
        <family val="2"/>
        <scheme val="minor"/>
      </rPr>
      <t>CI-SAII/TRIDENT-226/IV-2026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02/04/2026</t>
    </r>
  </si>
  <si>
    <r>
      <t>The calculation of the payable amount:
(US Dollar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Three Million One Hundred Ninety-Nine Thousand Two Hundred Eighty Only)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</si>
</sst>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i/>
      <sz val="22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3" fillId="0" borderId="22" xfId="1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2" fontId="3" fillId="0" borderId="22" xfId="0" applyNumberFormat="1" applyFont="1" applyBorder="1" applyAlignment="1">
      <alignment vertical="center"/>
    </xf>
    <xf numFmtId="4" fontId="3" fillId="0" borderId="24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0" fontId="5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2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9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4" fontId="0" fillId="0" borderId="3" xfId="0" applyNumberFormat="1" applyBorder="1" applyAlignment="1">
      <alignment horizontal="right" vertical="center"/>
    </xf>
    <xf numFmtId="0" fontId="9" fillId="0" borderId="2" xfId="0" applyFont="1" applyBorder="1" applyAlignment="1">
      <alignment vertical="center"/>
    </xf>
    <xf numFmtId="10" fontId="12" fillId="2" borderId="15" xfId="0" applyNumberFormat="1" applyFont="1" applyFill="1" applyBorder="1" applyAlignment="1">
      <alignment horizontal="center" vertical="center"/>
    </xf>
    <xf numFmtId="10" fontId="12" fillId="2" borderId="15" xfId="0" applyNumberFormat="1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/>
    </xf>
    <xf numFmtId="165" fontId="12" fillId="2" borderId="1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/>
    </xf>
    <xf numFmtId="4" fontId="3" fillId="0" borderId="2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15" fontId="3" fillId="0" borderId="15" xfId="0" applyNumberFormat="1" applyFont="1" applyBorder="1" applyAlignment="1">
      <alignment horizontal="center" vertical="center" wrapText="1"/>
    </xf>
    <xf numFmtId="15" fontId="3" fillId="0" borderId="5" xfId="0" applyNumberFormat="1" applyFont="1" applyBorder="1" applyAlignment="1">
      <alignment horizontal="center" vertical="center" wrapText="1"/>
    </xf>
    <xf numFmtId="15" fontId="3" fillId="0" borderId="18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15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7">
    <cellStyle name="Comma" xfId="1" builtinId="3"/>
    <cellStyle name="Comma [0] 2" xfId="4" xr:uid="{00000000-0005-0000-0000-000002000000}"/>
    <cellStyle name="Comma 2" xfId="2" xr:uid="{00000000-0005-0000-0000-000003000000}"/>
    <cellStyle name="Comma 2 2" xfId="5" xr:uid="{00000000-0005-0000-0000-000004000000}"/>
    <cellStyle name="Comma 3" xfId="3" xr:uid="{00000000-0005-0000-0000-000005000000}"/>
    <cellStyle name="Comma 4" xfId="6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384810</xdr:colOff>
      <xdr:row>33</xdr:row>
      <xdr:rowOff>5716</xdr:rowOff>
    </xdr:from>
    <xdr:to>
      <xdr:col>6</xdr:col>
      <xdr:colOff>308610</xdr:colOff>
      <xdr:row>34</xdr:row>
      <xdr:rowOff>154305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8DBCCC7-9DD2-4839-B765-EE604B54AA79}"/>
            </a:ext>
          </a:extLst>
        </xdr:cNvPr>
        <xdr:cNvSpPr/>
      </xdr:nvSpPr>
      <xdr:spPr>
        <a:xfrm>
          <a:off x="6236970" y="13851256"/>
          <a:ext cx="1729740" cy="33908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600" b="1"/>
            <a:t>ORIGINAL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168F-C091-4665-A4C8-C891C57CD272}">
  <sheetPr>
    <pageSetUpPr fitToPage="1"/>
  </sheetPr>
  <dimension ref="A3:G40"/>
  <sheetViews>
    <sheetView showGridLines="0" tabSelected="1" zoomScaleNormal="100" workbookViewId="0">
      <selection activeCell="A31" sqref="A31:D31"/>
    </sheetView>
  </sheetViews>
  <sheetFormatPr defaultRowHeight="14.5" x14ac:dyDescent="0.35"/>
  <cols>
    <col min="1" max="1" width="29.1796875" bestFit="1" customWidth="1"/>
    <col min="2" max="2" width="22.1796875" bestFit="1" customWidth="1"/>
    <col min="3" max="3" width="19.08984375" customWidth="1"/>
    <col min="4" max="4" width="14.81640625" bestFit="1" customWidth="1"/>
    <col min="5" max="5" width="13.81640625" bestFit="1" customWidth="1"/>
    <col min="6" max="6" width="12.54296875" customWidth="1"/>
    <col min="7" max="7" width="13.1796875" customWidth="1"/>
    <col min="8" max="8" width="8" customWidth="1"/>
  </cols>
  <sheetData>
    <row r="3" spans="1:7" ht="61.5" x14ac:dyDescent="1.35">
      <c r="A3" s="73" t="s">
        <v>10</v>
      </c>
      <c r="B3" s="73"/>
      <c r="C3" s="73"/>
      <c r="D3" s="73"/>
      <c r="E3" s="73"/>
      <c r="F3" s="73"/>
      <c r="G3" s="73"/>
    </row>
    <row r="4" spans="1:7" ht="11.25" customHeight="1" thickBot="1" x14ac:dyDescent="0.4">
      <c r="A4" s="74"/>
      <c r="B4" s="74"/>
      <c r="C4" s="74"/>
      <c r="D4" s="74"/>
      <c r="E4" s="74"/>
      <c r="F4" s="74"/>
      <c r="G4" s="74"/>
    </row>
    <row r="5" spans="1:7" ht="28.5" x14ac:dyDescent="0.35">
      <c r="A5" s="75" t="s">
        <v>1</v>
      </c>
      <c r="B5" s="76"/>
      <c r="C5" s="77"/>
      <c r="D5" s="77"/>
      <c r="E5" s="77"/>
      <c r="F5" s="77"/>
      <c r="G5" s="78"/>
    </row>
    <row r="6" spans="1:7" ht="37.5" customHeight="1" x14ac:dyDescent="0.35">
      <c r="A6" s="79" t="s">
        <v>58</v>
      </c>
      <c r="B6" s="80"/>
      <c r="C6" s="51" t="s">
        <v>8</v>
      </c>
      <c r="D6" s="52"/>
      <c r="E6" s="88" t="s">
        <v>69</v>
      </c>
      <c r="F6" s="89"/>
      <c r="G6" s="90"/>
    </row>
    <row r="7" spans="1:7" ht="25.75" customHeight="1" x14ac:dyDescent="0.35">
      <c r="A7" s="81"/>
      <c r="B7" s="82"/>
      <c r="C7" s="83" t="s">
        <v>25</v>
      </c>
      <c r="D7" s="84"/>
      <c r="E7" s="85" t="s">
        <v>54</v>
      </c>
      <c r="F7" s="86"/>
      <c r="G7" s="87"/>
    </row>
    <row r="8" spans="1:7" ht="24" customHeight="1" x14ac:dyDescent="0.35">
      <c r="A8" s="61" t="s">
        <v>27</v>
      </c>
      <c r="B8" s="62"/>
      <c r="C8" s="51" t="s">
        <v>26</v>
      </c>
      <c r="D8" s="52"/>
      <c r="E8" s="67">
        <v>46112</v>
      </c>
      <c r="F8" s="68"/>
      <c r="G8" s="69"/>
    </row>
    <row r="9" spans="1:7" ht="21.75" customHeight="1" x14ac:dyDescent="0.35">
      <c r="A9" s="63"/>
      <c r="B9" s="64"/>
      <c r="C9" s="70" t="s">
        <v>14</v>
      </c>
      <c r="D9" s="71"/>
      <c r="E9" s="45" t="s">
        <v>28</v>
      </c>
      <c r="F9" s="45"/>
      <c r="G9" s="50"/>
    </row>
    <row r="10" spans="1:7" ht="22.5" customHeight="1" x14ac:dyDescent="0.35">
      <c r="A10" s="65"/>
      <c r="B10" s="66"/>
      <c r="C10" s="51" t="s">
        <v>20</v>
      </c>
      <c r="D10" s="52"/>
      <c r="E10" s="44">
        <v>9732151</v>
      </c>
      <c r="F10" s="45"/>
      <c r="G10" s="50"/>
    </row>
    <row r="11" spans="1:7" ht="29.25" customHeight="1" x14ac:dyDescent="0.35">
      <c r="A11" s="34" t="s">
        <v>15</v>
      </c>
      <c r="B11" s="53" t="s">
        <v>29</v>
      </c>
      <c r="C11" s="54"/>
      <c r="D11" s="55"/>
      <c r="E11" s="56" t="s">
        <v>13</v>
      </c>
      <c r="F11" s="7" t="s">
        <v>21</v>
      </c>
      <c r="G11" s="8" t="s">
        <v>3</v>
      </c>
    </row>
    <row r="12" spans="1:7" ht="18.5" customHeight="1" x14ac:dyDescent="0.35">
      <c r="A12" s="9" t="s">
        <v>31</v>
      </c>
      <c r="B12" s="58" t="s">
        <v>30</v>
      </c>
      <c r="C12" s="59"/>
      <c r="D12" s="60"/>
      <c r="E12" s="57"/>
      <c r="F12" s="10" t="s">
        <v>0</v>
      </c>
      <c r="G12" s="11" t="s">
        <v>0</v>
      </c>
    </row>
    <row r="13" spans="1:7" ht="19.5" customHeight="1" x14ac:dyDescent="0.35">
      <c r="A13" s="9" t="s">
        <v>32</v>
      </c>
      <c r="B13" s="72">
        <v>46107</v>
      </c>
      <c r="C13" s="45"/>
      <c r="D13" s="45"/>
      <c r="E13" s="10"/>
      <c r="F13" s="10"/>
      <c r="G13" s="32"/>
    </row>
    <row r="14" spans="1:7" ht="29" customHeight="1" x14ac:dyDescent="0.35">
      <c r="A14" s="9" t="s">
        <v>34</v>
      </c>
      <c r="B14" s="44" t="s">
        <v>35</v>
      </c>
      <c r="C14" s="45"/>
      <c r="D14" s="46"/>
      <c r="E14" s="31"/>
      <c r="F14" s="31"/>
      <c r="G14" s="33"/>
    </row>
    <row r="15" spans="1:7" ht="20.5" customHeight="1" x14ac:dyDescent="0.35">
      <c r="A15" s="12" t="s">
        <v>33</v>
      </c>
      <c r="B15" s="58" t="s">
        <v>2</v>
      </c>
      <c r="C15" s="59"/>
      <c r="D15" s="59"/>
      <c r="E15" s="4">
        <v>58000</v>
      </c>
      <c r="F15" s="42">
        <v>55.16</v>
      </c>
      <c r="G15" s="43">
        <f>E15*F15</f>
        <v>3199280</v>
      </c>
    </row>
    <row r="16" spans="1:7" ht="19" customHeight="1" x14ac:dyDescent="0.35">
      <c r="A16" s="6" t="s">
        <v>6</v>
      </c>
      <c r="B16" s="93" t="s">
        <v>59</v>
      </c>
      <c r="C16" s="94"/>
      <c r="D16" s="94"/>
      <c r="E16" s="4"/>
      <c r="F16" s="13"/>
      <c r="G16" s="14"/>
    </row>
    <row r="17" spans="1:7" ht="24.5" customHeight="1" x14ac:dyDescent="0.35">
      <c r="A17" s="6" t="s">
        <v>7</v>
      </c>
      <c r="B17" s="93" t="s">
        <v>36</v>
      </c>
      <c r="C17" s="94"/>
      <c r="D17" s="94"/>
      <c r="E17" s="4"/>
      <c r="F17" s="13"/>
      <c r="G17" s="14"/>
    </row>
    <row r="18" spans="1:7" ht="91.75" customHeight="1" x14ac:dyDescent="0.35">
      <c r="A18" s="15" t="s">
        <v>9</v>
      </c>
      <c r="B18" s="95" t="s">
        <v>56</v>
      </c>
      <c r="C18" s="96"/>
      <c r="D18" s="96"/>
      <c r="E18" s="4"/>
      <c r="F18" s="13"/>
      <c r="G18" s="14"/>
    </row>
    <row r="19" spans="1:7" ht="31.75" customHeight="1" x14ac:dyDescent="0.35">
      <c r="A19" s="47" t="s">
        <v>57</v>
      </c>
      <c r="B19" s="48"/>
      <c r="C19" s="48"/>
      <c r="D19" s="49"/>
      <c r="E19" s="4"/>
      <c r="F19" s="13"/>
      <c r="G19" s="14"/>
    </row>
    <row r="20" spans="1:7" ht="17.25" customHeight="1" x14ac:dyDescent="0.35">
      <c r="A20" s="97" t="s">
        <v>37</v>
      </c>
      <c r="B20" s="98"/>
      <c r="C20" s="98"/>
      <c r="D20" s="98"/>
      <c r="E20" s="4"/>
      <c r="F20" s="13"/>
      <c r="G20" s="14"/>
    </row>
    <row r="21" spans="1:7" ht="16.5" customHeight="1" x14ac:dyDescent="0.35">
      <c r="A21" s="16" t="s">
        <v>38</v>
      </c>
      <c r="B21" s="17" t="s">
        <v>4</v>
      </c>
      <c r="C21" s="18" t="s">
        <v>12</v>
      </c>
      <c r="D21" s="19" t="s">
        <v>5</v>
      </c>
      <c r="E21" s="4"/>
      <c r="F21" s="13"/>
      <c r="G21" s="14"/>
    </row>
    <row r="22" spans="1:7" ht="17.25" customHeight="1" x14ac:dyDescent="0.35">
      <c r="A22" s="20" t="s">
        <v>40</v>
      </c>
      <c r="B22" s="5" t="s">
        <v>51</v>
      </c>
      <c r="C22" s="21" t="s">
        <v>18</v>
      </c>
      <c r="D22" s="37" t="s">
        <v>60</v>
      </c>
      <c r="E22" s="4"/>
      <c r="F22" s="13"/>
      <c r="G22" s="14"/>
    </row>
    <row r="23" spans="1:7" ht="16.5" customHeight="1" x14ac:dyDescent="0.35">
      <c r="A23" s="36" t="s">
        <v>41</v>
      </c>
      <c r="B23" s="5" t="s">
        <v>19</v>
      </c>
      <c r="C23" s="21" t="s">
        <v>18</v>
      </c>
      <c r="D23" s="37" t="s">
        <v>61</v>
      </c>
      <c r="E23" s="4"/>
      <c r="F23" s="13"/>
      <c r="G23" s="14"/>
    </row>
    <row r="24" spans="1:7" ht="17.25" customHeight="1" x14ac:dyDescent="0.35">
      <c r="A24" s="20" t="s">
        <v>44</v>
      </c>
      <c r="B24" s="22" t="s">
        <v>52</v>
      </c>
      <c r="C24" s="21" t="s">
        <v>55</v>
      </c>
      <c r="D24" s="37" t="s">
        <v>62</v>
      </c>
      <c r="E24" s="4"/>
      <c r="F24" s="13"/>
      <c r="G24" s="14"/>
    </row>
    <row r="25" spans="1:7" ht="17.5" customHeight="1" x14ac:dyDescent="0.35">
      <c r="A25" s="20" t="s">
        <v>42</v>
      </c>
      <c r="B25" s="5" t="s">
        <v>53</v>
      </c>
      <c r="C25" s="21" t="s">
        <v>18</v>
      </c>
      <c r="D25" s="37" t="s">
        <v>63</v>
      </c>
      <c r="E25" s="4"/>
      <c r="F25" s="13"/>
      <c r="G25" s="14"/>
    </row>
    <row r="26" spans="1:7" s="3" customFormat="1" ht="31.5" customHeight="1" x14ac:dyDescent="0.35">
      <c r="A26" s="20" t="s">
        <v>43</v>
      </c>
      <c r="B26" s="24" t="s">
        <v>11</v>
      </c>
      <c r="C26" s="21" t="s">
        <v>18</v>
      </c>
      <c r="D26" s="38" t="s">
        <v>64</v>
      </c>
      <c r="E26" s="4"/>
      <c r="F26" s="13"/>
      <c r="G26" s="14"/>
    </row>
    <row r="27" spans="1:7" ht="15.5" customHeight="1" x14ac:dyDescent="0.35">
      <c r="A27" s="20" t="s">
        <v>45</v>
      </c>
      <c r="B27" s="24" t="s">
        <v>46</v>
      </c>
      <c r="C27" s="21" t="s">
        <v>47</v>
      </c>
      <c r="D27" s="41" t="s">
        <v>65</v>
      </c>
      <c r="E27" s="4"/>
      <c r="F27" s="13"/>
      <c r="G27" s="14"/>
    </row>
    <row r="28" spans="1:7" ht="20.5" customHeight="1" x14ac:dyDescent="0.35">
      <c r="A28" s="23" t="s">
        <v>39</v>
      </c>
      <c r="B28" s="5" t="s">
        <v>22</v>
      </c>
      <c r="C28" s="21" t="s">
        <v>23</v>
      </c>
      <c r="D28" s="39" t="s">
        <v>66</v>
      </c>
      <c r="E28" s="4"/>
      <c r="F28" s="13"/>
      <c r="G28" s="14"/>
    </row>
    <row r="29" spans="1:7" ht="17.25" customHeight="1" x14ac:dyDescent="0.35">
      <c r="A29" s="23" t="s">
        <v>48</v>
      </c>
      <c r="B29" s="5" t="s">
        <v>49</v>
      </c>
      <c r="C29" s="21" t="s">
        <v>18</v>
      </c>
      <c r="D29" s="39">
        <v>40</v>
      </c>
      <c r="E29" s="4"/>
      <c r="F29" s="13"/>
      <c r="G29" s="14"/>
    </row>
    <row r="30" spans="1:7" ht="17.25" customHeight="1" x14ac:dyDescent="0.35">
      <c r="A30" s="20" t="s">
        <v>50</v>
      </c>
      <c r="B30" s="5" t="s">
        <v>24</v>
      </c>
      <c r="C30" s="21" t="s">
        <v>18</v>
      </c>
      <c r="D30" s="40" t="s">
        <v>67</v>
      </c>
      <c r="E30" s="4"/>
      <c r="F30" s="13"/>
      <c r="G30" s="14"/>
    </row>
    <row r="31" spans="1:7" ht="46.75" customHeight="1" x14ac:dyDescent="0.35">
      <c r="A31" s="99" t="s">
        <v>70</v>
      </c>
      <c r="B31" s="100"/>
      <c r="C31" s="100"/>
      <c r="D31" s="101"/>
      <c r="E31" s="29"/>
      <c r="F31" s="29"/>
      <c r="G31" s="35">
        <f>SUM(G13:G30)</f>
        <v>3199280</v>
      </c>
    </row>
    <row r="32" spans="1:7" x14ac:dyDescent="0.35">
      <c r="A32" s="92" t="s">
        <v>68</v>
      </c>
      <c r="B32" s="92"/>
      <c r="C32" s="92"/>
      <c r="D32" s="102"/>
      <c r="E32" s="102"/>
      <c r="F32" s="102"/>
      <c r="G32" s="102"/>
    </row>
    <row r="33" spans="1:7" ht="282" customHeight="1" x14ac:dyDescent="0.35">
      <c r="A33" s="92"/>
      <c r="B33" s="92"/>
      <c r="C33" s="92"/>
      <c r="D33" s="102"/>
      <c r="E33" s="102"/>
      <c r="F33" s="102"/>
      <c r="G33" s="102"/>
    </row>
    <row r="34" spans="1:7" s="30" customFormat="1" ht="15" customHeight="1" x14ac:dyDescent="0.35">
      <c r="A34" s="28" t="s">
        <v>17</v>
      </c>
      <c r="B34" s="28"/>
      <c r="C34" s="28"/>
      <c r="D34" s="27"/>
      <c r="E34" s="28"/>
      <c r="F34" s="28"/>
      <c r="G34" s="28"/>
    </row>
    <row r="35" spans="1:7" ht="62" customHeight="1" x14ac:dyDescent="0.35">
      <c r="A35" s="25"/>
      <c r="B35" s="25"/>
      <c r="C35" s="25"/>
      <c r="D35" s="28"/>
      <c r="E35" s="28"/>
      <c r="F35" s="28"/>
      <c r="G35" s="28"/>
    </row>
    <row r="36" spans="1:7" ht="91.75" customHeight="1" x14ac:dyDescent="0.35">
      <c r="A36" s="91" t="s">
        <v>16</v>
      </c>
      <c r="B36" s="91"/>
      <c r="C36" s="91"/>
      <c r="D36" s="91"/>
      <c r="E36" s="91"/>
      <c r="F36" s="91"/>
      <c r="G36" s="91"/>
    </row>
    <row r="37" spans="1:7" x14ac:dyDescent="0.35">
      <c r="D37" s="25"/>
      <c r="E37" s="1"/>
      <c r="F37" s="2"/>
      <c r="G37" s="2"/>
    </row>
    <row r="38" spans="1:7" x14ac:dyDescent="0.35">
      <c r="D38" s="1"/>
      <c r="E38" s="1"/>
      <c r="F38" s="2"/>
      <c r="G38" s="2"/>
    </row>
    <row r="39" spans="1:7" x14ac:dyDescent="0.35">
      <c r="D39" s="1"/>
      <c r="E39" s="26"/>
      <c r="F39" s="26"/>
      <c r="G39" s="26"/>
    </row>
    <row r="40" spans="1:7" x14ac:dyDescent="0.35">
      <c r="D40" s="26"/>
    </row>
  </sheetData>
  <mergeCells count="30">
    <mergeCell ref="A36:G36"/>
    <mergeCell ref="A32:C33"/>
    <mergeCell ref="B16:D16"/>
    <mergeCell ref="B17:D17"/>
    <mergeCell ref="B18:D18"/>
    <mergeCell ref="A20:D20"/>
    <mergeCell ref="A31:D31"/>
    <mergeCell ref="D32:G33"/>
    <mergeCell ref="A3:G3"/>
    <mergeCell ref="A4:G4"/>
    <mergeCell ref="A5:G5"/>
    <mergeCell ref="A6:B7"/>
    <mergeCell ref="C6:D6"/>
    <mergeCell ref="C7:D7"/>
    <mergeCell ref="E7:G7"/>
    <mergeCell ref="E6:G6"/>
    <mergeCell ref="B14:D14"/>
    <mergeCell ref="A19:D19"/>
    <mergeCell ref="E9:G9"/>
    <mergeCell ref="C10:D10"/>
    <mergeCell ref="E10:G10"/>
    <mergeCell ref="B11:D11"/>
    <mergeCell ref="E11:E12"/>
    <mergeCell ref="B12:D12"/>
    <mergeCell ref="A8:B10"/>
    <mergeCell ref="C8:D8"/>
    <mergeCell ref="E8:G8"/>
    <mergeCell ref="C9:D9"/>
    <mergeCell ref="B15:D15"/>
    <mergeCell ref="B13:D13"/>
  </mergeCells>
  <printOptions horizontalCentered="1"/>
  <pageMargins left="0.86614173228346458" right="0.82677165354330717" top="0.35433070866141736" bottom="0.55118110236220474" header="0.31496062992125984" footer="0.47244094488188981"/>
  <pageSetup paperSize="9"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feb013-9e48-4b72-9d62-f6092613a381">
      <Terms xmlns="http://schemas.microsoft.com/office/infopath/2007/PartnerControls"/>
    </lcf76f155ced4ddcb4097134ff3c332f>
    <TaxCatchAll xmlns="db49d638-7d6a-4e1e-bb61-2528d34bcc0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88327666EA2343B8EA7AA12A1E79C4" ma:contentTypeVersion="10" ma:contentTypeDescription="Create a new document." ma:contentTypeScope="" ma:versionID="2161b2f1bdb2f7e61f87f547bc7a1ac3">
  <xsd:schema xmlns:xsd="http://www.w3.org/2001/XMLSchema" xmlns:xs="http://www.w3.org/2001/XMLSchema" xmlns:p="http://schemas.microsoft.com/office/2006/metadata/properties" xmlns:ns2="7dfeb013-9e48-4b72-9d62-f6092613a381" xmlns:ns3="db49d638-7d6a-4e1e-bb61-2528d34bcc03" targetNamespace="http://schemas.microsoft.com/office/2006/metadata/properties" ma:root="true" ma:fieldsID="cb7a33eb1ed7634004d953effc4d247b" ns2:_="" ns3:_="">
    <xsd:import namespace="7dfeb013-9e48-4b72-9d62-f6092613a381"/>
    <xsd:import namespace="db49d638-7d6a-4e1e-bb61-2528d34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feb013-9e48-4b72-9d62-f6092613a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224867-153a-4516-b4fa-7a5a9ad38f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9d638-7d6a-4e1e-bb61-2528d34bcc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b692a-c4e7-4fee-9a04-96e2682efa5e}" ma:internalName="TaxCatchAll" ma:showField="CatchAllData" ma:web="db49d638-7d6a-4e1e-bb61-2528d34bcc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415363-3BDD-496E-A56A-BF4E87C96320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88944428-bc61-4d7a-b359-20bc80af6dfb"/>
    <ds:schemaRef ds:uri="cd7d3bb7-f2a3-4262-a3f1-c380a2a99d20"/>
    <ds:schemaRef ds:uri="7dfeb013-9e48-4b72-9d62-f6092613a381"/>
    <ds:schemaRef ds:uri="db49d638-7d6a-4e1e-bb61-2528d34bcc03"/>
  </ds:schemaRefs>
</ds:datastoreItem>
</file>

<file path=customXml/itemProps2.xml><?xml version="1.0" encoding="utf-8"?>
<ds:datastoreItem xmlns:ds="http://schemas.openxmlformats.org/officeDocument/2006/customXml" ds:itemID="{9463CA8A-A351-48A6-813F-26F8631BC8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feb013-9e48-4b72-9d62-f6092613a381"/>
    <ds:schemaRef ds:uri="db49d638-7d6a-4e1e-bb61-2528d34bc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452089-179B-4683-B4B2-ACBBA768C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</vt:lpstr>
      <vt:lpstr>CI!Print_Area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Veerendra Kedarnath Chandalada</dc:creator>
  <cp:lastModifiedBy>Anuncia Vincent</cp:lastModifiedBy>
  <cp:lastPrinted>2025-09-19T07:59:36Z</cp:lastPrinted>
  <dcterms:created xsi:type="dcterms:W3CDTF">2017-09-06T23:32:08Z</dcterms:created>
  <dcterms:modified xsi:type="dcterms:W3CDTF">2026-04-03T02:57:21Z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0x0101003288327666EA2343B8EA7AA12A1E79C4</vt:lpwstr>
  </property>
  <property fmtid="{D5CDD505-2E9C-101B-9397-08002B2CF9AE}" pid="3" name="MediaServiceImageTags">
    <vt:lpwstr/>
  </property>
</Properties>
</file>